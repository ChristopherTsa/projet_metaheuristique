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nstafr-my.sharepoint.com/personal/christopher_tsa_ensta-paris_fr/Documents/ENSTA/3A/Metaheuristique/project/final_results/"/>
    </mc:Choice>
  </mc:AlternateContent>
  <xr:revisionPtr revIDLastSave="5" documentId="8_{2FAC0D2E-242A-1A4D-B389-A220C35E545E}" xr6:coauthVersionLast="47" xr6:coauthVersionMax="47" xr10:uidLastSave="{B812D4D4-78EB-4049-862F-5FEAD7DADA2B}"/>
  <bookViews>
    <workbookView xWindow="0" yWindow="500" windowWidth="28800" windowHeight="17500" xr2:uid="{5291BE0A-BBF2-824B-BC3A-017B99172B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03" i="1" l="1"/>
  <c r="D102" i="1"/>
  <c r="D101" i="1"/>
  <c r="D100" i="1"/>
  <c r="E103" i="1"/>
  <c r="E102" i="1"/>
  <c r="E101" i="1"/>
  <c r="E100" i="1"/>
</calcChain>
</file>

<file path=xl/sharedStrings.xml><?xml version="1.0" encoding="utf-8"?>
<sst xmlns="http://schemas.openxmlformats.org/spreadsheetml/2006/main" count="285" uniqueCount="203">
  <si>
    <t>Fichier</t>
  </si>
  <si>
    <t>Instance</t>
  </si>
  <si>
    <t>Nombre de projets (N)</t>
  </si>
  <si>
    <t>Nombre de ressources (M)</t>
  </si>
  <si>
    <t>Profit optimal</t>
  </si>
  <si>
    <t>knpacb1</t>
  </si>
  <si>
    <t>24381.0</t>
  </si>
  <si>
    <t>24274.0</t>
  </si>
  <si>
    <t>23551.0</t>
  </si>
  <si>
    <t>23534.0</t>
  </si>
  <si>
    <t>23991.0</t>
  </si>
  <si>
    <t>24613.0</t>
  </si>
  <si>
    <t>25591.0</t>
  </si>
  <si>
    <t>23410.0</t>
  </si>
  <si>
    <t>24216.0</t>
  </si>
  <si>
    <t>24411.0</t>
  </si>
  <si>
    <t>knapcb2</t>
  </si>
  <si>
    <t>59312.0</t>
  </si>
  <si>
    <t>61472.0</t>
  </si>
  <si>
    <t>62130.0</t>
  </si>
  <si>
    <t>59446.0</t>
  </si>
  <si>
    <t>58951.0</t>
  </si>
  <si>
    <t>60056.0</t>
  </si>
  <si>
    <t>60414.0</t>
  </si>
  <si>
    <t>61885.0</t>
  </si>
  <si>
    <t>58959.0</t>
  </si>
  <si>
    <t>58607.0</t>
  </si>
  <si>
    <t>knapcb3</t>
  </si>
  <si>
    <t>120130.0</t>
  </si>
  <si>
    <t>117837.0</t>
  </si>
  <si>
    <t>121109.0</t>
  </si>
  <si>
    <t>120798.0</t>
  </si>
  <si>
    <t>122319.0</t>
  </si>
  <si>
    <t>122007.0</t>
  </si>
  <si>
    <t>119113.0</t>
  </si>
  <si>
    <t>120568.0</t>
  </si>
  <si>
    <t>121575.0</t>
  </si>
  <si>
    <t>120699.0</t>
  </si>
  <si>
    <t>knapcb4</t>
  </si>
  <si>
    <t>23064.0</t>
  </si>
  <si>
    <t>22801.0</t>
  </si>
  <si>
    <t>22131.0</t>
  </si>
  <si>
    <t>22772.0</t>
  </si>
  <si>
    <t>22751.0</t>
  </si>
  <si>
    <t>22777.0</t>
  </si>
  <si>
    <t>21875.0</t>
  </si>
  <si>
    <t>22635.0</t>
  </si>
  <si>
    <t>22511.0</t>
  </si>
  <si>
    <t>22702.0</t>
  </si>
  <si>
    <t>knapcb5</t>
  </si>
  <si>
    <t>59187.0</t>
  </si>
  <si>
    <t>58662.0</t>
  </si>
  <si>
    <t>58094.0</t>
  </si>
  <si>
    <t>61000.0</t>
  </si>
  <si>
    <t>58092.0</t>
  </si>
  <si>
    <t>58803.0</t>
  </si>
  <si>
    <t>58917.0</t>
  </si>
  <si>
    <t>59384.0</t>
  </si>
  <si>
    <t>59193.0</t>
  </si>
  <si>
    <t>knapcb6</t>
  </si>
  <si>
    <t>117726.0</t>
  </si>
  <si>
    <t>116434.0</t>
  </si>
  <si>
    <t>119139.0</t>
  </si>
  <si>
    <t>119159.0</t>
  </si>
  <si>
    <t>118802.0</t>
  </si>
  <si>
    <t>119454.0</t>
  </si>
  <si>
    <t>119749.0</t>
  </si>
  <si>
    <t>118288.0</t>
  </si>
  <si>
    <t>117779.0</t>
  </si>
  <si>
    <t>119125.0</t>
  </si>
  <si>
    <t>knapcb7</t>
  </si>
  <si>
    <t>21946.0</t>
  </si>
  <si>
    <t>21716.0</t>
  </si>
  <si>
    <t>20754.0</t>
  </si>
  <si>
    <t>21464.0</t>
  </si>
  <si>
    <t>21814.0</t>
  </si>
  <si>
    <t>22176.0</t>
  </si>
  <si>
    <t>21799.0</t>
  </si>
  <si>
    <t>21397.0</t>
  </si>
  <si>
    <t>22493.0</t>
  </si>
  <si>
    <t>20983.0</t>
  </si>
  <si>
    <t>knapcb8</t>
  </si>
  <si>
    <t>56693.0</t>
  </si>
  <si>
    <t>58318.0</t>
  </si>
  <si>
    <t>56553.0</t>
  </si>
  <si>
    <t>56863.0</t>
  </si>
  <si>
    <t>56629.0</t>
  </si>
  <si>
    <t>57119.0</t>
  </si>
  <si>
    <t>56292.0</t>
  </si>
  <si>
    <t>56403.0</t>
  </si>
  <si>
    <t>57442.0</t>
  </si>
  <si>
    <t>56447.0</t>
  </si>
  <si>
    <t>knapcb9</t>
  </si>
  <si>
    <t>115868.0</t>
  </si>
  <si>
    <t>114667.0</t>
  </si>
  <si>
    <t>116661.0</t>
  </si>
  <si>
    <t>115237.0</t>
  </si>
  <si>
    <t>116353.0</t>
  </si>
  <si>
    <t>115604.0</t>
  </si>
  <si>
    <t>113952.0</t>
  </si>
  <si>
    <t>114199.0</t>
  </si>
  <si>
    <t>115247.0</t>
  </si>
  <si>
    <t>116947.0</t>
  </si>
  <si>
    <t>Ecart [SA]</t>
  </si>
  <si>
    <t>Profit [SA]</t>
  </si>
  <si>
    <t>Temps (s)  [SA]</t>
  </si>
  <si>
    <t>109767.0</t>
  </si>
  <si>
    <t>110992.0</t>
  </si>
  <si>
    <t>113218.0</t>
  </si>
  <si>
    <t>109126.0</t>
  </si>
  <si>
    <t>111124.0</t>
  </si>
  <si>
    <t>111897.0</t>
  </si>
  <si>
    <t>110205.0</t>
  </si>
  <si>
    <t>110620.0</t>
  </si>
  <si>
    <t>111435.0</t>
  </si>
  <si>
    <t>113067.0</t>
  </si>
  <si>
    <t>23234.0</t>
  </si>
  <si>
    <t>23898.0</t>
  </si>
  <si>
    <t>23085.0</t>
  </si>
  <si>
    <t>22460.0</t>
  </si>
  <si>
    <t>23386.0</t>
  </si>
  <si>
    <t>24394.0</t>
  </si>
  <si>
    <t>25060.0</t>
  </si>
  <si>
    <t>23006.0</t>
  </si>
  <si>
    <t>23307.0</t>
  </si>
  <si>
    <t>24109.0</t>
  </si>
  <si>
    <t>57568.0</t>
  </si>
  <si>
    <t>58306.0</t>
  </si>
  <si>
    <t>59989.0</t>
  </si>
  <si>
    <t>56169.0</t>
  </si>
  <si>
    <t>58093.0</t>
  </si>
  <si>
    <t>56947.0</t>
  </si>
  <si>
    <t>58962.0</t>
  </si>
  <si>
    <t>59729.0</t>
  </si>
  <si>
    <t>60357.0</t>
  </si>
  <si>
    <t>57629.0</t>
  </si>
  <si>
    <t>119608.0</t>
  </si>
  <si>
    <t>113741.0</t>
  </si>
  <si>
    <t>119315.0</t>
  </si>
  <si>
    <t>118543.0</t>
  </si>
  <si>
    <t>118861.0</t>
  </si>
  <si>
    <t>120274.0</t>
  </si>
  <si>
    <t>116960.0</t>
  </si>
  <si>
    <t>118534.0</t>
  </si>
  <si>
    <t>117684.0</t>
  </si>
  <si>
    <t>118249.0</t>
  </si>
  <si>
    <t>22168.0</t>
  </si>
  <si>
    <t>21912.0</t>
  </si>
  <si>
    <t>21381.0</t>
  </si>
  <si>
    <t>21440.0</t>
  </si>
  <si>
    <t>22342.0</t>
  </si>
  <si>
    <t>21955.0</t>
  </si>
  <si>
    <t>21185.0</t>
  </si>
  <si>
    <t>21334.0</t>
  </si>
  <si>
    <t>21737.0</t>
  </si>
  <si>
    <t>22008.0</t>
  </si>
  <si>
    <t>58264.0</t>
  </si>
  <si>
    <t>56421.0</t>
  </si>
  <si>
    <t>55561.0</t>
  </si>
  <si>
    <t>58585.0</t>
  </si>
  <si>
    <t>54893.0</t>
  </si>
  <si>
    <t>56017.0</t>
  </si>
  <si>
    <t>56982.0</t>
  </si>
  <si>
    <t>56136.0</t>
  </si>
  <si>
    <t>57746.0</t>
  </si>
  <si>
    <t>57355.0</t>
  </si>
  <si>
    <t>113311.0</t>
  </si>
  <si>
    <t>116959.0</t>
  </si>
  <si>
    <t>114032.0</t>
  </si>
  <si>
    <t>116428.0</t>
  </si>
  <si>
    <t>113663.0</t>
  </si>
  <si>
    <t>117072.0</t>
  </si>
  <si>
    <t>117115.0</t>
  </si>
  <si>
    <t>115264.0</t>
  </si>
  <si>
    <t>110694.0</t>
  </si>
  <si>
    <t>116120.0</t>
  </si>
  <si>
    <t>20392.0</t>
  </si>
  <si>
    <t>20033.0</t>
  </si>
  <si>
    <t>19510.0</t>
  </si>
  <si>
    <t>20417.0</t>
  </si>
  <si>
    <t>20786.0</t>
  </si>
  <si>
    <t>21520.0</t>
  </si>
  <si>
    <t>21130.0</t>
  </si>
  <si>
    <t>20601.0</t>
  </si>
  <si>
    <t>21475.0</t>
  </si>
  <si>
    <t>19961.0</t>
  </si>
  <si>
    <t>54221.0</t>
  </si>
  <si>
    <t>55709.0</t>
  </si>
  <si>
    <t>54457.0</t>
  </si>
  <si>
    <t>55488.0</t>
  </si>
  <si>
    <t>54629.0</t>
  </si>
  <si>
    <t>55505.0</t>
  </si>
  <si>
    <t>54360.0</t>
  </si>
  <si>
    <t>54912.0</t>
  </si>
  <si>
    <t>54819.0</t>
  </si>
  <si>
    <t>53268.0</t>
  </si>
  <si>
    <t>Statistique</t>
  </si>
  <si>
    <t>Ecart (%)</t>
  </si>
  <si>
    <t>Temps (s)</t>
  </si>
  <si>
    <t>Valeur min</t>
  </si>
  <si>
    <t>Valeur max</t>
  </si>
  <si>
    <t>Moyenne</t>
  </si>
  <si>
    <t>Ecart-Type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</si>
</sst>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10" fontId="0" fillId="0" borderId="0" xfId="0" applyNumberFormat="1"/>
    <xf numFmtId="2" fontId="0" fillId="0" borderId="0" xfId="0" applyNumberFormat="1"/>
    <xf numFmtId="9" fontId="0" fillId="0" borderId="0" xfId="1" applyFont="1"/>
    <xf numFmtId="0" fontId="4" fillId="0" borderId="0" xfId="0" applyFont="1"/>
    <xf numFmtId="0" fontId="0" fillId="0" borderId="0" xfId="0" quotePrefix="1"/>
    <xf numFmtId="0" fontId="2" fillId="2" borderId="1" xfId="0" applyFont="1" applyFill="1" applyBorder="1"/>
    <xf numFmtId="0" fontId="3" fillId="3" borderId="1" xfId="0" applyFont="1" applyFill="1" applyBorder="1"/>
    <xf numFmtId="2" fontId="0" fillId="0" borderId="1" xfId="1" applyNumberFormat="1" applyFont="1" applyBorder="1"/>
    <xf numFmtId="2" fontId="0" fillId="0" borderId="1" xfId="0" applyNumberFormat="1" applyBorder="1"/>
    <xf numFmtId="9" fontId="0" fillId="0" borderId="0" xfId="1" quotePrefix="1" applyFont="1"/>
    <xf numFmtId="10" fontId="0" fillId="0" borderId="0" xfId="1" applyNumberFormat="1" applyFont="1"/>
    <xf numFmtId="10" fontId="2" fillId="2" borderId="1" xfId="1" applyNumberFormat="1" applyFont="1" applyFill="1" applyBorder="1"/>
    <xf numFmtId="10" fontId="0" fillId="0" borderId="1" xfId="1" applyNumberFormat="1" applyFont="1" applyBorder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E62C-2156-364E-BC5D-FA2392C97A5E}">
  <dimension ref="A1:H103"/>
  <sheetViews>
    <sheetView tabSelected="1" topLeftCell="A87" workbookViewId="0">
      <selection activeCell="D87" sqref="D1:D1048576"/>
    </sheetView>
  </sheetViews>
  <sheetFormatPr baseColWidth="10" defaultRowHeight="16" x14ac:dyDescent="0.2"/>
  <cols>
    <col min="3" max="3" width="18.6640625" customWidth="1"/>
    <col min="4" max="4" width="22.1640625" style="11" customWidth="1"/>
    <col min="5" max="5" width="22.33203125" customWidth="1"/>
    <col min="6" max="6" width="17" customWidth="1"/>
    <col min="7" max="7" width="22.6640625" customWidth="1"/>
    <col min="8" max="8" width="21.5" customWidth="1"/>
  </cols>
  <sheetData>
    <row r="1" spans="1:8" x14ac:dyDescent="0.2">
      <c r="A1" t="s">
        <v>0</v>
      </c>
      <c r="B1" t="s">
        <v>1</v>
      </c>
      <c r="C1" t="s">
        <v>2</v>
      </c>
      <c r="D1" s="11" t="s">
        <v>3</v>
      </c>
      <c r="E1" t="s">
        <v>4</v>
      </c>
      <c r="F1" t="s">
        <v>104</v>
      </c>
      <c r="G1" s="1" t="s">
        <v>103</v>
      </c>
      <c r="H1" s="2" t="s">
        <v>105</v>
      </c>
    </row>
    <row r="2" spans="1:8" x14ac:dyDescent="0.2">
      <c r="A2" t="s">
        <v>5</v>
      </c>
      <c r="B2">
        <v>1</v>
      </c>
      <c r="C2">
        <v>100</v>
      </c>
      <c r="D2" s="11">
        <v>5</v>
      </c>
      <c r="E2" t="s">
        <v>6</v>
      </c>
      <c r="F2" t="s">
        <v>116</v>
      </c>
      <c r="G2" s="3">
        <v>4.7044829990566403E-2</v>
      </c>
      <c r="H2">
        <v>49.323380947113002</v>
      </c>
    </row>
    <row r="3" spans="1:8" x14ac:dyDescent="0.2">
      <c r="A3" t="s">
        <v>5</v>
      </c>
      <c r="B3">
        <v>2</v>
      </c>
      <c r="C3">
        <v>100</v>
      </c>
      <c r="D3" s="11">
        <v>5</v>
      </c>
      <c r="E3" t="s">
        <v>7</v>
      </c>
      <c r="F3" t="s">
        <v>117</v>
      </c>
      <c r="G3" s="3">
        <v>1.5489824503584E-2</v>
      </c>
      <c r="H3">
        <v>43.262160062789903</v>
      </c>
    </row>
    <row r="4" spans="1:8" x14ac:dyDescent="0.2">
      <c r="A4" t="s">
        <v>5</v>
      </c>
      <c r="B4">
        <v>3</v>
      </c>
      <c r="C4">
        <v>100</v>
      </c>
      <c r="D4" s="11">
        <v>5</v>
      </c>
      <c r="E4" t="s">
        <v>8</v>
      </c>
      <c r="F4" t="s">
        <v>118</v>
      </c>
      <c r="G4" s="3">
        <v>1.9786845569190199E-2</v>
      </c>
      <c r="H4">
        <v>53.604483842849703</v>
      </c>
    </row>
    <row r="5" spans="1:8" x14ac:dyDescent="0.2">
      <c r="A5" t="s">
        <v>5</v>
      </c>
      <c r="B5">
        <v>4</v>
      </c>
      <c r="C5">
        <v>100</v>
      </c>
      <c r="D5" s="11">
        <v>5</v>
      </c>
      <c r="E5" t="s">
        <v>9</v>
      </c>
      <c r="F5" t="s">
        <v>119</v>
      </c>
      <c r="G5" s="3">
        <v>4.5636100960312703E-2</v>
      </c>
      <c r="H5">
        <v>66.103022098541203</v>
      </c>
    </row>
    <row r="6" spans="1:8" x14ac:dyDescent="0.2">
      <c r="A6" t="s">
        <v>5</v>
      </c>
      <c r="B6">
        <v>5</v>
      </c>
      <c r="C6">
        <v>100</v>
      </c>
      <c r="D6" s="11">
        <v>5</v>
      </c>
      <c r="E6" t="s">
        <v>10</v>
      </c>
      <c r="F6" t="s">
        <v>120</v>
      </c>
      <c r="G6" s="3">
        <v>2.5217790004584999E-2</v>
      </c>
      <c r="H6">
        <v>48.908357858657801</v>
      </c>
    </row>
    <row r="7" spans="1:8" x14ac:dyDescent="0.2">
      <c r="A7" t="s">
        <v>5</v>
      </c>
      <c r="B7">
        <v>6</v>
      </c>
      <c r="C7">
        <v>100</v>
      </c>
      <c r="D7" s="11">
        <v>5</v>
      </c>
      <c r="E7" t="s">
        <v>11</v>
      </c>
      <c r="F7" t="s">
        <v>121</v>
      </c>
      <c r="G7" s="3">
        <v>8.8977369682688E-3</v>
      </c>
      <c r="H7">
        <v>47.051938056945801</v>
      </c>
    </row>
    <row r="8" spans="1:8" x14ac:dyDescent="0.2">
      <c r="A8" t="s">
        <v>5</v>
      </c>
      <c r="B8">
        <v>7</v>
      </c>
      <c r="C8">
        <v>100</v>
      </c>
      <c r="D8" s="11">
        <v>5</v>
      </c>
      <c r="E8" t="s">
        <v>12</v>
      </c>
      <c r="F8" t="s">
        <v>122</v>
      </c>
      <c r="G8" s="3">
        <v>2.07494822398499E-2</v>
      </c>
      <c r="H8">
        <v>51.1710877418518</v>
      </c>
    </row>
    <row r="9" spans="1:8" x14ac:dyDescent="0.2">
      <c r="A9" t="s">
        <v>5</v>
      </c>
      <c r="B9">
        <v>8</v>
      </c>
      <c r="C9">
        <v>100</v>
      </c>
      <c r="D9" s="11">
        <v>5</v>
      </c>
      <c r="E9" t="s">
        <v>13</v>
      </c>
      <c r="F9" t="s">
        <v>123</v>
      </c>
      <c r="G9" s="3">
        <v>1.7257582229816298E-2</v>
      </c>
      <c r="H9">
        <v>49.963875770568798</v>
      </c>
    </row>
    <row r="10" spans="1:8" x14ac:dyDescent="0.2">
      <c r="A10" t="s">
        <v>5</v>
      </c>
      <c r="B10">
        <v>9</v>
      </c>
      <c r="C10">
        <v>100</v>
      </c>
      <c r="D10" s="11">
        <v>5</v>
      </c>
      <c r="E10" t="s">
        <v>14</v>
      </c>
      <c r="F10" t="s">
        <v>124</v>
      </c>
      <c r="G10" s="3">
        <v>3.7537165510406298E-2</v>
      </c>
      <c r="H10">
        <v>44.481019973754798</v>
      </c>
    </row>
    <row r="11" spans="1:8" x14ac:dyDescent="0.2">
      <c r="A11" t="s">
        <v>5</v>
      </c>
      <c r="B11">
        <v>10</v>
      </c>
      <c r="C11">
        <v>100</v>
      </c>
      <c r="D11" s="11">
        <v>5</v>
      </c>
      <c r="E11" t="s">
        <v>15</v>
      </c>
      <c r="F11" t="s">
        <v>125</v>
      </c>
      <c r="G11" s="3">
        <v>1.2371471877432301E-2</v>
      </c>
      <c r="H11">
        <v>46.438796043395897</v>
      </c>
    </row>
    <row r="12" spans="1:8" x14ac:dyDescent="0.2">
      <c r="A12" t="s">
        <v>16</v>
      </c>
      <c r="B12">
        <v>1</v>
      </c>
      <c r="C12">
        <v>250</v>
      </c>
      <c r="D12" s="11">
        <v>5</v>
      </c>
      <c r="E12" t="s">
        <v>17</v>
      </c>
      <c r="F12" t="s">
        <v>126</v>
      </c>
      <c r="G12" s="3">
        <v>2.9403830590774199E-2</v>
      </c>
      <c r="H12" s="5">
        <v>287.60725688934298</v>
      </c>
    </row>
    <row r="13" spans="1:8" x14ac:dyDescent="0.2">
      <c r="A13" t="s">
        <v>16</v>
      </c>
      <c r="B13">
        <v>2</v>
      </c>
      <c r="C13">
        <v>250</v>
      </c>
      <c r="D13" s="11">
        <v>5</v>
      </c>
      <c r="E13" t="s">
        <v>18</v>
      </c>
      <c r="F13" t="s">
        <v>127</v>
      </c>
      <c r="G13" s="3">
        <v>5.1503123373243101E-2</v>
      </c>
      <c r="H13" s="5">
        <v>300.95582795143099</v>
      </c>
    </row>
    <row r="14" spans="1:8" x14ac:dyDescent="0.2">
      <c r="A14" t="s">
        <v>16</v>
      </c>
      <c r="B14">
        <v>3</v>
      </c>
      <c r="C14">
        <v>250</v>
      </c>
      <c r="D14" s="11">
        <v>5</v>
      </c>
      <c r="E14" t="s">
        <v>19</v>
      </c>
      <c r="F14" t="s">
        <v>128</v>
      </c>
      <c r="G14" s="3">
        <v>3.4460003219056803E-2</v>
      </c>
      <c r="H14" s="5">
        <v>300.22346210479702</v>
      </c>
    </row>
    <row r="15" spans="1:8" x14ac:dyDescent="0.2">
      <c r="A15" t="s">
        <v>16</v>
      </c>
      <c r="B15">
        <v>4</v>
      </c>
      <c r="C15">
        <v>250</v>
      </c>
      <c r="D15" s="11">
        <v>5</v>
      </c>
      <c r="E15" t="s">
        <v>20</v>
      </c>
      <c r="F15" t="s">
        <v>129</v>
      </c>
      <c r="G15" s="3">
        <v>5.5125660263095899E-2</v>
      </c>
      <c r="H15" s="5">
        <v>300.36306619644103</v>
      </c>
    </row>
    <row r="16" spans="1:8" x14ac:dyDescent="0.2">
      <c r="A16" t="s">
        <v>16</v>
      </c>
      <c r="B16">
        <v>5</v>
      </c>
      <c r="C16">
        <v>250</v>
      </c>
      <c r="D16" s="11">
        <v>5</v>
      </c>
      <c r="E16" t="s">
        <v>21</v>
      </c>
      <c r="F16" t="s">
        <v>130</v>
      </c>
      <c r="G16" s="10">
        <v>1.45544604841308E-2</v>
      </c>
      <c r="H16" s="5">
        <v>288.48572492599402</v>
      </c>
    </row>
    <row r="17" spans="1:8" x14ac:dyDescent="0.2">
      <c r="A17" t="s">
        <v>16</v>
      </c>
      <c r="B17">
        <v>6</v>
      </c>
      <c r="C17">
        <v>250</v>
      </c>
      <c r="D17" s="11">
        <v>5</v>
      </c>
      <c r="E17" t="s">
        <v>22</v>
      </c>
      <c r="F17" t="s">
        <v>131</v>
      </c>
      <c r="G17" s="10">
        <v>5.1768349540428901E-2</v>
      </c>
      <c r="H17" s="5">
        <v>300.561132669448</v>
      </c>
    </row>
    <row r="18" spans="1:8" x14ac:dyDescent="0.2">
      <c r="A18" t="s">
        <v>16</v>
      </c>
      <c r="B18">
        <v>7</v>
      </c>
      <c r="C18">
        <v>250</v>
      </c>
      <c r="D18" s="11">
        <v>5</v>
      </c>
      <c r="E18" t="s">
        <v>23</v>
      </c>
      <c r="F18" t="s">
        <v>132</v>
      </c>
      <c r="G18" s="10">
        <v>2.4034164266560701E-2</v>
      </c>
      <c r="H18" s="5">
        <v>278.499413967132</v>
      </c>
    </row>
    <row r="19" spans="1:8" x14ac:dyDescent="0.2">
      <c r="A19" t="s">
        <v>16</v>
      </c>
      <c r="B19">
        <v>8</v>
      </c>
      <c r="C19">
        <v>250</v>
      </c>
      <c r="D19" s="11">
        <v>5</v>
      </c>
      <c r="E19" t="s">
        <v>18</v>
      </c>
      <c r="F19" t="s">
        <v>133</v>
      </c>
      <c r="G19" s="10">
        <v>2.8354372722540301E-2</v>
      </c>
      <c r="H19" s="5">
        <v>300.526811122894</v>
      </c>
    </row>
    <row r="20" spans="1:8" x14ac:dyDescent="0.2">
      <c r="A20" t="s">
        <v>16</v>
      </c>
      <c r="B20">
        <v>9</v>
      </c>
      <c r="C20">
        <v>250</v>
      </c>
      <c r="D20" s="11">
        <v>5</v>
      </c>
      <c r="E20" t="s">
        <v>24</v>
      </c>
      <c r="F20" t="s">
        <v>134</v>
      </c>
      <c r="G20" s="10">
        <v>2.46909590369233E-2</v>
      </c>
      <c r="H20" s="5">
        <v>300.78459620475701</v>
      </c>
    </row>
    <row r="21" spans="1:8" x14ac:dyDescent="0.2">
      <c r="A21" t="s">
        <v>16</v>
      </c>
      <c r="B21">
        <v>10</v>
      </c>
      <c r="C21">
        <v>250</v>
      </c>
      <c r="D21" s="11">
        <v>5</v>
      </c>
      <c r="E21" t="s">
        <v>25</v>
      </c>
      <c r="F21" t="s">
        <v>135</v>
      </c>
      <c r="G21" s="3">
        <v>2.2558048813582299E-2</v>
      </c>
      <c r="H21" s="5">
        <v>252.20957684516901</v>
      </c>
    </row>
    <row r="22" spans="1:8" x14ac:dyDescent="0.2">
      <c r="A22" t="s">
        <v>27</v>
      </c>
      <c r="B22">
        <v>1</v>
      </c>
      <c r="C22">
        <v>500</v>
      </c>
      <c r="D22" s="11">
        <v>5</v>
      </c>
      <c r="E22" t="s">
        <v>28</v>
      </c>
      <c r="F22" t="s">
        <v>136</v>
      </c>
      <c r="G22" s="3">
        <v>4.3452925996836696E-3</v>
      </c>
      <c r="H22">
        <v>300.87528491020203</v>
      </c>
    </row>
    <row r="23" spans="1:8" x14ac:dyDescent="0.2">
      <c r="A23" t="s">
        <v>27</v>
      </c>
      <c r="B23">
        <v>2</v>
      </c>
      <c r="C23">
        <v>500</v>
      </c>
      <c r="D23" s="11">
        <v>5</v>
      </c>
      <c r="E23" t="s">
        <v>29</v>
      </c>
      <c r="F23" t="s">
        <v>137</v>
      </c>
      <c r="G23" s="3">
        <v>3.4759880173459899E-2</v>
      </c>
      <c r="H23" s="5">
        <v>305.27492284774701</v>
      </c>
    </row>
    <row r="24" spans="1:8" x14ac:dyDescent="0.2">
      <c r="A24" t="s">
        <v>27</v>
      </c>
      <c r="B24">
        <v>3</v>
      </c>
      <c r="C24">
        <v>500</v>
      </c>
      <c r="D24" s="11">
        <v>5</v>
      </c>
      <c r="E24" t="s">
        <v>30</v>
      </c>
      <c r="F24" t="s">
        <v>138</v>
      </c>
      <c r="G24" s="3">
        <v>1.48131022467364E-2</v>
      </c>
      <c r="H24" s="5">
        <v>305.23467683792097</v>
      </c>
    </row>
    <row r="25" spans="1:8" x14ac:dyDescent="0.2">
      <c r="A25" t="s">
        <v>27</v>
      </c>
      <c r="B25">
        <v>4</v>
      </c>
      <c r="C25">
        <v>500</v>
      </c>
      <c r="D25" s="11">
        <v>5</v>
      </c>
      <c r="E25" t="s">
        <v>31</v>
      </c>
      <c r="F25" t="s">
        <v>139</v>
      </c>
      <c r="G25" s="3">
        <v>1.8667527608072901E-2</v>
      </c>
      <c r="H25" s="5">
        <v>300.27797293663002</v>
      </c>
    </row>
    <row r="26" spans="1:8" x14ac:dyDescent="0.2">
      <c r="A26" t="s">
        <v>27</v>
      </c>
      <c r="B26">
        <v>5</v>
      </c>
      <c r="C26">
        <v>500</v>
      </c>
      <c r="D26" s="11">
        <v>5</v>
      </c>
      <c r="E26" t="s">
        <v>32</v>
      </c>
      <c r="F26" t="s">
        <v>140</v>
      </c>
      <c r="G26" s="3">
        <v>2.8270342301686499E-2</v>
      </c>
      <c r="H26" s="5">
        <v>576.48666286468494</v>
      </c>
    </row>
    <row r="27" spans="1:8" x14ac:dyDescent="0.2">
      <c r="A27" t="s">
        <v>27</v>
      </c>
      <c r="B27">
        <v>6</v>
      </c>
      <c r="C27">
        <v>500</v>
      </c>
      <c r="D27" s="11">
        <v>5</v>
      </c>
      <c r="E27" t="s">
        <v>33</v>
      </c>
      <c r="F27" t="s">
        <v>141</v>
      </c>
      <c r="G27" s="3">
        <v>1.4204103043267999E-2</v>
      </c>
      <c r="H27" s="5">
        <v>303.709777116775</v>
      </c>
    </row>
    <row r="28" spans="1:8" x14ac:dyDescent="0.2">
      <c r="A28" t="s">
        <v>27</v>
      </c>
      <c r="B28">
        <v>7</v>
      </c>
      <c r="C28">
        <v>500</v>
      </c>
      <c r="D28" s="11">
        <v>5</v>
      </c>
      <c r="E28" t="s">
        <v>34</v>
      </c>
      <c r="F28" t="s">
        <v>142</v>
      </c>
      <c r="G28" s="10">
        <v>1.80752730600354E-2</v>
      </c>
      <c r="H28" s="5">
        <v>303.07426309585497</v>
      </c>
    </row>
    <row r="29" spans="1:8" x14ac:dyDescent="0.2">
      <c r="A29" t="s">
        <v>27</v>
      </c>
      <c r="B29">
        <v>8</v>
      </c>
      <c r="C29">
        <v>500</v>
      </c>
      <c r="D29" s="11">
        <v>5</v>
      </c>
      <c r="E29" t="s">
        <v>35</v>
      </c>
      <c r="F29" t="s">
        <v>143</v>
      </c>
      <c r="G29" s="3">
        <v>1.6870147966292801E-2</v>
      </c>
      <c r="H29" s="5">
        <v>305.04868102073601</v>
      </c>
    </row>
    <row r="30" spans="1:8" x14ac:dyDescent="0.2">
      <c r="A30" t="s">
        <v>27</v>
      </c>
      <c r="B30">
        <v>9</v>
      </c>
      <c r="C30">
        <v>500</v>
      </c>
      <c r="D30" s="11">
        <v>5</v>
      </c>
      <c r="E30" t="s">
        <v>36</v>
      </c>
      <c r="F30" t="s">
        <v>144</v>
      </c>
      <c r="G30" s="10">
        <v>3.2004935225169603E-2</v>
      </c>
      <c r="H30" s="5">
        <v>301.96121597289999</v>
      </c>
    </row>
    <row r="31" spans="1:8" x14ac:dyDescent="0.2">
      <c r="A31" t="s">
        <v>27</v>
      </c>
      <c r="B31">
        <v>10</v>
      </c>
      <c r="C31">
        <v>500</v>
      </c>
      <c r="D31" s="11">
        <v>5</v>
      </c>
      <c r="E31" t="s">
        <v>37</v>
      </c>
      <c r="F31" t="s">
        <v>145</v>
      </c>
      <c r="G31" s="3">
        <v>2.0298428321692801E-2</v>
      </c>
      <c r="H31" s="5">
        <v>303.96979093551602</v>
      </c>
    </row>
    <row r="32" spans="1:8" x14ac:dyDescent="0.2">
      <c r="A32" t="s">
        <v>38</v>
      </c>
      <c r="B32">
        <v>1</v>
      </c>
      <c r="C32">
        <v>100</v>
      </c>
      <c r="D32" s="11">
        <v>10</v>
      </c>
      <c r="E32" t="s">
        <v>39</v>
      </c>
      <c r="F32" t="s">
        <v>146</v>
      </c>
      <c r="G32" s="3">
        <v>3.8848421782865003E-2</v>
      </c>
      <c r="H32" s="5">
        <v>34.075553894042898</v>
      </c>
    </row>
    <row r="33" spans="1:8" x14ac:dyDescent="0.2">
      <c r="A33" t="s">
        <v>38</v>
      </c>
      <c r="B33">
        <v>2</v>
      </c>
      <c r="C33">
        <v>100</v>
      </c>
      <c r="D33" s="11">
        <v>10</v>
      </c>
      <c r="E33" t="s">
        <v>40</v>
      </c>
      <c r="F33" t="s">
        <v>147</v>
      </c>
      <c r="G33" s="3">
        <v>3.8989518003596298E-2</v>
      </c>
      <c r="H33" s="5">
        <v>35.6431820392608</v>
      </c>
    </row>
    <row r="34" spans="1:8" x14ac:dyDescent="0.2">
      <c r="A34" t="s">
        <v>38</v>
      </c>
      <c r="B34">
        <v>3</v>
      </c>
      <c r="C34">
        <v>100</v>
      </c>
      <c r="D34" s="11">
        <v>10</v>
      </c>
      <c r="E34" t="s">
        <v>41</v>
      </c>
      <c r="F34" t="s">
        <v>148</v>
      </c>
      <c r="G34" s="10">
        <v>3.3889114816320898E-2</v>
      </c>
      <c r="H34" s="5">
        <v>33.703485012054401</v>
      </c>
    </row>
    <row r="35" spans="1:8" x14ac:dyDescent="0.2">
      <c r="A35" t="s">
        <v>38</v>
      </c>
      <c r="B35">
        <v>4</v>
      </c>
      <c r="C35">
        <v>100</v>
      </c>
      <c r="D35" s="11">
        <v>10</v>
      </c>
      <c r="E35" t="s">
        <v>42</v>
      </c>
      <c r="F35" t="s">
        <v>149</v>
      </c>
      <c r="G35" s="3">
        <v>5.8492886000351303E-2</v>
      </c>
      <c r="H35">
        <v>45.035712957382202</v>
      </c>
    </row>
    <row r="36" spans="1:8" x14ac:dyDescent="0.2">
      <c r="A36" t="s">
        <v>38</v>
      </c>
      <c r="B36">
        <v>5</v>
      </c>
      <c r="C36">
        <v>100</v>
      </c>
      <c r="D36" s="11">
        <v>10</v>
      </c>
      <c r="E36" t="s">
        <v>43</v>
      </c>
      <c r="F36" t="s">
        <v>150</v>
      </c>
      <c r="G36" s="10">
        <v>1.7977231770032E-2</v>
      </c>
      <c r="H36" s="5">
        <v>33.874436855316098</v>
      </c>
    </row>
    <row r="37" spans="1:8" x14ac:dyDescent="0.2">
      <c r="A37" t="s">
        <v>38</v>
      </c>
      <c r="B37">
        <v>6</v>
      </c>
      <c r="C37">
        <v>100</v>
      </c>
      <c r="D37" s="11">
        <v>10</v>
      </c>
      <c r="E37" t="s">
        <v>44</v>
      </c>
      <c r="F37" t="s">
        <v>151</v>
      </c>
      <c r="G37" s="3">
        <v>3.60890371866356E-2</v>
      </c>
      <c r="H37" s="5">
        <v>46.660830020904498</v>
      </c>
    </row>
    <row r="38" spans="1:8" x14ac:dyDescent="0.2">
      <c r="A38" t="s">
        <v>38</v>
      </c>
      <c r="B38">
        <v>7</v>
      </c>
      <c r="C38">
        <v>100</v>
      </c>
      <c r="D38" s="11">
        <v>10</v>
      </c>
      <c r="E38" t="s">
        <v>45</v>
      </c>
      <c r="F38" t="s">
        <v>152</v>
      </c>
      <c r="G38" s="3">
        <v>3.1542857142857102E-2</v>
      </c>
      <c r="H38" s="5">
        <v>45.521725893020601</v>
      </c>
    </row>
    <row r="39" spans="1:8" x14ac:dyDescent="0.2">
      <c r="A39" t="s">
        <v>38</v>
      </c>
      <c r="B39">
        <v>8</v>
      </c>
      <c r="C39">
        <v>100</v>
      </c>
      <c r="D39" s="11">
        <v>10</v>
      </c>
      <c r="E39" t="s">
        <v>46</v>
      </c>
      <c r="F39" t="s">
        <v>153</v>
      </c>
      <c r="G39" s="10">
        <v>5.7477358073779503E-2</v>
      </c>
      <c r="H39" s="5">
        <v>38.776597976684499</v>
      </c>
    </row>
    <row r="40" spans="1:8" x14ac:dyDescent="0.2">
      <c r="A40" t="s">
        <v>38</v>
      </c>
      <c r="B40">
        <v>9</v>
      </c>
      <c r="C40">
        <v>100</v>
      </c>
      <c r="D40" s="11">
        <v>10</v>
      </c>
      <c r="E40" t="s">
        <v>47</v>
      </c>
      <c r="F40" t="s">
        <v>154</v>
      </c>
      <c r="G40" s="3">
        <v>3.4383190440229201E-2</v>
      </c>
      <c r="H40">
        <v>33.659386157989502</v>
      </c>
    </row>
    <row r="41" spans="1:8" x14ac:dyDescent="0.2">
      <c r="A41" t="s">
        <v>38</v>
      </c>
      <c r="B41">
        <v>10</v>
      </c>
      <c r="C41">
        <v>100</v>
      </c>
      <c r="D41" s="11">
        <v>10</v>
      </c>
      <c r="E41" t="s">
        <v>48</v>
      </c>
      <c r="F41" t="s">
        <v>155</v>
      </c>
      <c r="G41" s="10">
        <v>3.0569993833142399E-2</v>
      </c>
      <c r="H41" s="5">
        <v>33.9041652679443</v>
      </c>
    </row>
    <row r="42" spans="1:8" x14ac:dyDescent="0.2">
      <c r="A42" t="s">
        <v>49</v>
      </c>
      <c r="B42">
        <v>1</v>
      </c>
      <c r="C42">
        <v>250</v>
      </c>
      <c r="D42" s="11">
        <v>10</v>
      </c>
      <c r="E42" t="s">
        <v>50</v>
      </c>
      <c r="F42" t="s">
        <v>156</v>
      </c>
      <c r="G42" s="3">
        <v>1.55946407150218E-2</v>
      </c>
      <c r="H42" s="5">
        <v>228.32964611053399</v>
      </c>
    </row>
    <row r="43" spans="1:8" x14ac:dyDescent="0.2">
      <c r="A43" t="s">
        <v>49</v>
      </c>
      <c r="B43">
        <v>2</v>
      </c>
      <c r="C43">
        <v>250</v>
      </c>
      <c r="D43" s="11">
        <v>10</v>
      </c>
      <c r="E43" t="s">
        <v>51</v>
      </c>
      <c r="F43" t="s">
        <v>157</v>
      </c>
      <c r="G43" s="3">
        <v>3.8201902424056397E-2</v>
      </c>
      <c r="H43" s="5">
        <v>300.12125396728499</v>
      </c>
    </row>
    <row r="44" spans="1:8" x14ac:dyDescent="0.2">
      <c r="A44" t="s">
        <v>49</v>
      </c>
      <c r="B44">
        <v>3</v>
      </c>
      <c r="C44">
        <v>250</v>
      </c>
      <c r="D44" s="11">
        <v>10</v>
      </c>
      <c r="E44" t="s">
        <v>52</v>
      </c>
      <c r="F44" t="s">
        <v>158</v>
      </c>
      <c r="G44" s="3">
        <v>4.3601748889730403E-2</v>
      </c>
      <c r="H44" s="5">
        <v>293.21675300598099</v>
      </c>
    </row>
    <row r="45" spans="1:8" x14ac:dyDescent="0.2">
      <c r="A45" t="s">
        <v>49</v>
      </c>
      <c r="B45">
        <v>4</v>
      </c>
      <c r="C45">
        <v>250</v>
      </c>
      <c r="D45" s="11">
        <v>10</v>
      </c>
      <c r="E45" t="s">
        <v>53</v>
      </c>
      <c r="F45" t="s">
        <v>159</v>
      </c>
      <c r="G45" s="3">
        <v>3.9590163934426201E-2</v>
      </c>
      <c r="H45" s="5">
        <v>300.84139800071699</v>
      </c>
    </row>
    <row r="46" spans="1:8" x14ac:dyDescent="0.2">
      <c r="A46" t="s">
        <v>49</v>
      </c>
      <c r="B46">
        <v>5</v>
      </c>
      <c r="C46">
        <v>250</v>
      </c>
      <c r="D46" s="11">
        <v>10</v>
      </c>
      <c r="E46" t="s">
        <v>54</v>
      </c>
      <c r="F46" t="s">
        <v>160</v>
      </c>
      <c r="G46" s="3">
        <v>5.5067823452454701E-2</v>
      </c>
      <c r="H46" s="5">
        <v>300.69198298454199</v>
      </c>
    </row>
    <row r="47" spans="1:8" x14ac:dyDescent="0.2">
      <c r="A47" t="s">
        <v>49</v>
      </c>
      <c r="B47">
        <v>6</v>
      </c>
      <c r="C47">
        <v>250</v>
      </c>
      <c r="D47" s="11">
        <v>10</v>
      </c>
      <c r="E47" t="s">
        <v>55</v>
      </c>
      <c r="F47" t="s">
        <v>161</v>
      </c>
      <c r="G47" s="3">
        <v>4.7378535108752902E-2</v>
      </c>
      <c r="H47" s="5">
        <v>301.66548776626502</v>
      </c>
    </row>
    <row r="48" spans="1:8" x14ac:dyDescent="0.2">
      <c r="A48" t="s">
        <v>49</v>
      </c>
      <c r="B48">
        <v>7</v>
      </c>
      <c r="C48">
        <v>250</v>
      </c>
      <c r="D48" s="11">
        <v>10</v>
      </c>
      <c r="E48" t="s">
        <v>26</v>
      </c>
      <c r="F48" t="s">
        <v>162</v>
      </c>
      <c r="G48" s="10">
        <v>2.7727063320081201E-2</v>
      </c>
      <c r="H48" s="5">
        <v>300.21868205070399</v>
      </c>
    </row>
    <row r="49" spans="1:8" x14ac:dyDescent="0.2">
      <c r="A49" t="s">
        <v>49</v>
      </c>
      <c r="B49">
        <v>8</v>
      </c>
      <c r="C49">
        <v>250</v>
      </c>
      <c r="D49" s="11">
        <v>10</v>
      </c>
      <c r="E49" t="s">
        <v>56</v>
      </c>
      <c r="F49" t="s">
        <v>163</v>
      </c>
      <c r="G49" s="10">
        <v>4.7201996028311002E-2</v>
      </c>
      <c r="H49" s="5">
        <v>300.33818316459599</v>
      </c>
    </row>
    <row r="50" spans="1:8" x14ac:dyDescent="0.2">
      <c r="A50" t="s">
        <v>49</v>
      </c>
      <c r="B50">
        <v>9</v>
      </c>
      <c r="C50">
        <v>250</v>
      </c>
      <c r="D50" s="11">
        <v>10</v>
      </c>
      <c r="E50" t="s">
        <v>57</v>
      </c>
      <c r="F50" t="s">
        <v>164</v>
      </c>
      <c r="G50" s="10">
        <v>2.7583187390542899E-2</v>
      </c>
      <c r="H50">
        <v>300.88890695571899</v>
      </c>
    </row>
    <row r="51" spans="1:8" x14ac:dyDescent="0.2">
      <c r="A51" t="s">
        <v>49</v>
      </c>
      <c r="B51">
        <v>10</v>
      </c>
      <c r="C51">
        <v>250</v>
      </c>
      <c r="D51" s="11">
        <v>10</v>
      </c>
      <c r="E51" t="s">
        <v>58</v>
      </c>
      <c r="F51" t="s">
        <v>165</v>
      </c>
      <c r="G51" s="10">
        <v>3.1050968864561601E-2</v>
      </c>
      <c r="H51" s="5">
        <v>300.18814110755898</v>
      </c>
    </row>
    <row r="52" spans="1:8" x14ac:dyDescent="0.2">
      <c r="A52" t="s">
        <v>59</v>
      </c>
      <c r="B52">
        <v>1</v>
      </c>
      <c r="C52">
        <v>500</v>
      </c>
      <c r="D52" s="11">
        <v>10</v>
      </c>
      <c r="E52" t="s">
        <v>60</v>
      </c>
      <c r="F52" t="s">
        <v>166</v>
      </c>
      <c r="G52" s="3">
        <v>3.7502335932589198E-2</v>
      </c>
      <c r="H52" s="5">
        <v>301.29914903640702</v>
      </c>
    </row>
    <row r="53" spans="1:8" x14ac:dyDescent="0.2">
      <c r="A53" t="s">
        <v>59</v>
      </c>
      <c r="B53">
        <v>2</v>
      </c>
      <c r="C53">
        <v>500</v>
      </c>
      <c r="D53" s="11">
        <v>10</v>
      </c>
      <c r="E53" t="s">
        <v>62</v>
      </c>
      <c r="F53" t="s">
        <v>167</v>
      </c>
      <c r="G53" s="10">
        <v>1.82979544901333E-2</v>
      </c>
      <c r="H53" s="5">
        <v>792.00049304962101</v>
      </c>
    </row>
    <row r="54" spans="1:8" x14ac:dyDescent="0.2">
      <c r="A54" t="s">
        <v>59</v>
      </c>
      <c r="B54">
        <v>3</v>
      </c>
      <c r="C54">
        <v>500</v>
      </c>
      <c r="D54" s="11">
        <v>10</v>
      </c>
      <c r="E54" t="s">
        <v>63</v>
      </c>
      <c r="F54" t="s">
        <v>168</v>
      </c>
      <c r="G54" s="3">
        <v>4.3026544365091998E-2</v>
      </c>
      <c r="H54" s="5">
        <v>301.245038032531</v>
      </c>
    </row>
    <row r="55" spans="1:8" x14ac:dyDescent="0.2">
      <c r="A55" t="s">
        <v>59</v>
      </c>
      <c r="B55">
        <v>4</v>
      </c>
      <c r="C55">
        <v>500</v>
      </c>
      <c r="D55" s="11">
        <v>10</v>
      </c>
      <c r="E55" t="s">
        <v>64</v>
      </c>
      <c r="F55" t="s">
        <v>169</v>
      </c>
      <c r="G55" s="10">
        <v>1.99828285719095E-2</v>
      </c>
      <c r="H55" s="5">
        <v>301.168797016143</v>
      </c>
    </row>
    <row r="56" spans="1:8" x14ac:dyDescent="0.2">
      <c r="A56" t="s">
        <v>59</v>
      </c>
      <c r="B56">
        <v>5</v>
      </c>
      <c r="C56">
        <v>500</v>
      </c>
      <c r="D56" s="11">
        <v>10</v>
      </c>
      <c r="E56" t="s">
        <v>61</v>
      </c>
      <c r="F56" t="s">
        <v>170</v>
      </c>
      <c r="G56" s="3">
        <v>2.3798890358486299E-2</v>
      </c>
      <c r="H56" s="5">
        <v>301.77502989768902</v>
      </c>
    </row>
    <row r="57" spans="1:8" x14ac:dyDescent="0.2">
      <c r="A57" t="s">
        <v>59</v>
      </c>
      <c r="B57">
        <v>6</v>
      </c>
      <c r="C57">
        <v>500</v>
      </c>
      <c r="D57" s="11">
        <v>10</v>
      </c>
      <c r="E57" t="s">
        <v>65</v>
      </c>
      <c r="F57" t="s">
        <v>171</v>
      </c>
      <c r="G57" s="10">
        <v>1.9940730322969499E-2</v>
      </c>
      <c r="H57" s="5">
        <v>300.80462288856501</v>
      </c>
    </row>
    <row r="58" spans="1:8" x14ac:dyDescent="0.2">
      <c r="A58" t="s">
        <v>59</v>
      </c>
      <c r="B58">
        <v>7</v>
      </c>
      <c r="C58">
        <v>500</v>
      </c>
      <c r="D58" s="11">
        <v>10</v>
      </c>
      <c r="E58" t="s">
        <v>66</v>
      </c>
      <c r="F58" t="s">
        <v>172</v>
      </c>
      <c r="G58" s="10">
        <v>2.19960083173972E-2</v>
      </c>
      <c r="H58" s="5">
        <v>301.57809877395601</v>
      </c>
    </row>
    <row r="59" spans="1:8" x14ac:dyDescent="0.2">
      <c r="A59" t="s">
        <v>59</v>
      </c>
      <c r="B59">
        <v>8</v>
      </c>
      <c r="C59">
        <v>500</v>
      </c>
      <c r="D59" s="11">
        <v>10</v>
      </c>
      <c r="E59" t="s">
        <v>67</v>
      </c>
      <c r="F59" t="s">
        <v>173</v>
      </c>
      <c r="G59" s="3">
        <v>2.5564723386987599E-2</v>
      </c>
      <c r="H59" s="5">
        <v>305.441668033599</v>
      </c>
    </row>
    <row r="60" spans="1:8" x14ac:dyDescent="0.2">
      <c r="A60" t="s">
        <v>59</v>
      </c>
      <c r="B60">
        <v>9</v>
      </c>
      <c r="C60">
        <v>500</v>
      </c>
      <c r="D60" s="11">
        <v>10</v>
      </c>
      <c r="E60" t="s">
        <v>68</v>
      </c>
      <c r="F60" t="s">
        <v>174</v>
      </c>
      <c r="G60" s="10">
        <v>6.0155036126983502E-2</v>
      </c>
      <c r="H60" s="5">
        <v>303.37985992431601</v>
      </c>
    </row>
    <row r="61" spans="1:8" x14ac:dyDescent="0.2">
      <c r="A61" t="s">
        <v>59</v>
      </c>
      <c r="B61">
        <v>10</v>
      </c>
      <c r="C61">
        <v>500</v>
      </c>
      <c r="D61" s="11">
        <v>10</v>
      </c>
      <c r="E61" t="s">
        <v>69</v>
      </c>
      <c r="F61" t="s">
        <v>175</v>
      </c>
      <c r="G61" s="10">
        <v>2.52256033578174E-2</v>
      </c>
      <c r="H61" s="5">
        <v>300.23208212852398</v>
      </c>
    </row>
    <row r="62" spans="1:8" x14ac:dyDescent="0.2">
      <c r="A62" t="s">
        <v>70</v>
      </c>
      <c r="B62">
        <v>1</v>
      </c>
      <c r="C62">
        <v>100</v>
      </c>
      <c r="D62" s="11">
        <v>30</v>
      </c>
      <c r="E62" t="s">
        <v>71</v>
      </c>
      <c r="F62" t="s">
        <v>176</v>
      </c>
      <c r="G62" s="3">
        <v>7.0810170418299401E-2</v>
      </c>
      <c r="H62" s="5">
        <v>41.262314796447697</v>
      </c>
    </row>
    <row r="63" spans="1:8" x14ac:dyDescent="0.2">
      <c r="A63" t="s">
        <v>70</v>
      </c>
      <c r="B63">
        <v>2</v>
      </c>
      <c r="C63">
        <v>100</v>
      </c>
      <c r="D63" s="11">
        <v>30</v>
      </c>
      <c r="E63" t="s">
        <v>72</v>
      </c>
      <c r="F63" t="s">
        <v>177</v>
      </c>
      <c r="G63" s="3">
        <v>7.7500460489961301E-2</v>
      </c>
      <c r="H63">
        <v>40.337838172912598</v>
      </c>
    </row>
    <row r="64" spans="1:8" x14ac:dyDescent="0.2">
      <c r="A64" t="s">
        <v>70</v>
      </c>
      <c r="B64">
        <v>3</v>
      </c>
      <c r="C64">
        <v>100</v>
      </c>
      <c r="D64" s="11">
        <v>30</v>
      </c>
      <c r="E64" t="s">
        <v>73</v>
      </c>
      <c r="F64" t="s">
        <v>178</v>
      </c>
      <c r="G64" s="3">
        <v>5.9940252481449303E-2</v>
      </c>
      <c r="H64" s="5">
        <v>40.176070928573601</v>
      </c>
    </row>
    <row r="65" spans="1:8" x14ac:dyDescent="0.2">
      <c r="A65" t="s">
        <v>70</v>
      </c>
      <c r="B65">
        <v>4</v>
      </c>
      <c r="C65">
        <v>100</v>
      </c>
      <c r="D65" s="11">
        <v>30</v>
      </c>
      <c r="E65" t="s">
        <v>74</v>
      </c>
      <c r="F65" t="s">
        <v>179</v>
      </c>
      <c r="G65" s="3">
        <v>4.8779351472232502E-2</v>
      </c>
      <c r="H65" s="5">
        <v>48.691338062286299</v>
      </c>
    </row>
    <row r="66" spans="1:8" x14ac:dyDescent="0.2">
      <c r="A66" t="s">
        <v>70</v>
      </c>
      <c r="B66">
        <v>5</v>
      </c>
      <c r="C66">
        <v>100</v>
      </c>
      <c r="D66" s="11">
        <v>30</v>
      </c>
      <c r="E66" t="s">
        <v>75</v>
      </c>
      <c r="F66" t="s">
        <v>180</v>
      </c>
      <c r="G66" s="3">
        <v>4.7125699092326001E-2</v>
      </c>
      <c r="H66" s="5">
        <v>40.252740859985302</v>
      </c>
    </row>
    <row r="67" spans="1:8" x14ac:dyDescent="0.2">
      <c r="A67" t="s">
        <v>70</v>
      </c>
      <c r="B67">
        <v>6</v>
      </c>
      <c r="C67">
        <v>100</v>
      </c>
      <c r="D67" s="11">
        <v>30</v>
      </c>
      <c r="E67" t="s">
        <v>76</v>
      </c>
      <c r="F67" t="s">
        <v>181</v>
      </c>
      <c r="G67" s="3">
        <v>2.95815295815295E-2</v>
      </c>
      <c r="H67" s="5">
        <v>40.378622770309399</v>
      </c>
    </row>
    <row r="68" spans="1:8" x14ac:dyDescent="0.2">
      <c r="A68" t="s">
        <v>70</v>
      </c>
      <c r="B68">
        <v>7</v>
      </c>
      <c r="C68">
        <v>100</v>
      </c>
      <c r="D68" s="11">
        <v>30</v>
      </c>
      <c r="E68" t="s">
        <v>77</v>
      </c>
      <c r="F68" t="s">
        <v>182</v>
      </c>
      <c r="G68" s="10">
        <v>3.0689481168860899E-2</v>
      </c>
      <c r="H68">
        <v>41.219764232635498</v>
      </c>
    </row>
    <row r="69" spans="1:8" x14ac:dyDescent="0.2">
      <c r="A69" t="s">
        <v>70</v>
      </c>
      <c r="B69">
        <v>8</v>
      </c>
      <c r="C69">
        <v>100</v>
      </c>
      <c r="D69" s="11">
        <v>30</v>
      </c>
      <c r="E69" t="s">
        <v>78</v>
      </c>
      <c r="F69" t="s">
        <v>183</v>
      </c>
      <c r="G69" s="3">
        <v>3.7201476842548001E-2</v>
      </c>
      <c r="H69" s="5">
        <v>52.897782087326</v>
      </c>
    </row>
    <row r="70" spans="1:8" x14ac:dyDescent="0.2">
      <c r="A70" t="s">
        <v>70</v>
      </c>
      <c r="B70">
        <v>9</v>
      </c>
      <c r="C70">
        <v>100</v>
      </c>
      <c r="D70" s="11">
        <v>30</v>
      </c>
      <c r="E70" t="s">
        <v>79</v>
      </c>
      <c r="F70" t="s">
        <v>184</v>
      </c>
      <c r="G70" s="3">
        <v>4.52585248744053E-2</v>
      </c>
      <c r="H70" s="5">
        <v>54.167529106140101</v>
      </c>
    </row>
    <row r="71" spans="1:8" x14ac:dyDescent="0.2">
      <c r="A71" t="s">
        <v>70</v>
      </c>
      <c r="B71">
        <v>10</v>
      </c>
      <c r="C71">
        <v>100</v>
      </c>
      <c r="D71" s="11">
        <v>30</v>
      </c>
      <c r="E71" t="s">
        <v>80</v>
      </c>
      <c r="F71" t="s">
        <v>185</v>
      </c>
      <c r="G71" s="10">
        <v>4.8706095410570402E-2</v>
      </c>
      <c r="H71" s="5">
        <v>42.558035135269101</v>
      </c>
    </row>
    <row r="72" spans="1:8" x14ac:dyDescent="0.2">
      <c r="A72" t="s">
        <v>81</v>
      </c>
      <c r="B72">
        <v>1</v>
      </c>
      <c r="C72">
        <v>250</v>
      </c>
      <c r="D72" s="11">
        <v>30</v>
      </c>
      <c r="E72" t="s">
        <v>82</v>
      </c>
      <c r="F72" t="s">
        <v>186</v>
      </c>
      <c r="G72" s="3">
        <v>4.3603266717231401E-2</v>
      </c>
      <c r="H72" s="5">
        <v>263.72156119346602</v>
      </c>
    </row>
    <row r="73" spans="1:8" x14ac:dyDescent="0.2">
      <c r="A73" t="s">
        <v>81</v>
      </c>
      <c r="B73">
        <v>2</v>
      </c>
      <c r="C73">
        <v>250</v>
      </c>
      <c r="D73" s="11">
        <v>30</v>
      </c>
      <c r="E73" t="s">
        <v>83</v>
      </c>
      <c r="F73" t="s">
        <v>187</v>
      </c>
      <c r="G73" s="10">
        <v>4.4737473850269202E-2</v>
      </c>
      <c r="H73" s="5">
        <v>255.072116374969</v>
      </c>
    </row>
    <row r="74" spans="1:8" x14ac:dyDescent="0.2">
      <c r="A74" t="s">
        <v>81</v>
      </c>
      <c r="B74">
        <v>3</v>
      </c>
      <c r="C74">
        <v>250</v>
      </c>
      <c r="D74" s="11">
        <v>30</v>
      </c>
      <c r="E74" t="s">
        <v>84</v>
      </c>
      <c r="F74" t="s">
        <v>188</v>
      </c>
      <c r="G74" s="3">
        <v>3.7062578466217501E-2</v>
      </c>
      <c r="H74" s="5">
        <v>252.79709720611501</v>
      </c>
    </row>
    <row r="75" spans="1:8" x14ac:dyDescent="0.2">
      <c r="A75" t="s">
        <v>81</v>
      </c>
      <c r="B75">
        <v>4</v>
      </c>
      <c r="C75">
        <v>250</v>
      </c>
      <c r="D75" s="11">
        <v>30</v>
      </c>
      <c r="E75" t="s">
        <v>85</v>
      </c>
      <c r="F75" t="s">
        <v>189</v>
      </c>
      <c r="G75" s="10">
        <v>2.41809260855037E-2</v>
      </c>
      <c r="H75" s="5">
        <v>300.97692179679802</v>
      </c>
    </row>
    <row r="76" spans="1:8" x14ac:dyDescent="0.2">
      <c r="A76" t="s">
        <v>81</v>
      </c>
      <c r="B76">
        <v>5</v>
      </c>
      <c r="C76">
        <v>250</v>
      </c>
      <c r="D76" s="11">
        <v>30</v>
      </c>
      <c r="E76" t="s">
        <v>86</v>
      </c>
      <c r="F76" t="s">
        <v>190</v>
      </c>
      <c r="G76" s="10">
        <v>3.5317593459181597E-2</v>
      </c>
      <c r="H76" s="5">
        <v>300.74101781845002</v>
      </c>
    </row>
    <row r="77" spans="1:8" x14ac:dyDescent="0.2">
      <c r="A77" t="s">
        <v>81</v>
      </c>
      <c r="B77">
        <v>6</v>
      </c>
      <c r="C77">
        <v>250</v>
      </c>
      <c r="D77" s="11">
        <v>30</v>
      </c>
      <c r="E77" t="s">
        <v>87</v>
      </c>
      <c r="F77" t="s">
        <v>191</v>
      </c>
      <c r="G77" s="3">
        <v>2.8256797212836301E-2</v>
      </c>
      <c r="H77" s="5">
        <v>300.32089233398398</v>
      </c>
    </row>
    <row r="78" spans="1:8" x14ac:dyDescent="0.2">
      <c r="A78" t="s">
        <v>81</v>
      </c>
      <c r="B78">
        <v>7</v>
      </c>
      <c r="C78">
        <v>250</v>
      </c>
      <c r="D78" s="11">
        <v>30</v>
      </c>
      <c r="E78" t="s">
        <v>88</v>
      </c>
      <c r="F78" t="s">
        <v>192</v>
      </c>
      <c r="G78" s="10">
        <v>3.4321040289916803E-2</v>
      </c>
      <c r="H78" s="5">
        <v>300.54297685623101</v>
      </c>
    </row>
    <row r="79" spans="1:8" x14ac:dyDescent="0.2">
      <c r="A79" t="s">
        <v>81</v>
      </c>
      <c r="B79">
        <v>8</v>
      </c>
      <c r="C79">
        <v>250</v>
      </c>
      <c r="D79" s="11">
        <v>30</v>
      </c>
      <c r="E79" t="s">
        <v>89</v>
      </c>
      <c r="F79" t="s">
        <v>193</v>
      </c>
      <c r="G79" s="3">
        <v>2.64347641082921E-2</v>
      </c>
      <c r="H79" s="5">
        <v>300.08373498916598</v>
      </c>
    </row>
    <row r="80" spans="1:8" x14ac:dyDescent="0.2">
      <c r="A80" t="s">
        <v>81</v>
      </c>
      <c r="B80">
        <v>9</v>
      </c>
      <c r="C80">
        <v>250</v>
      </c>
      <c r="D80" s="11">
        <v>30</v>
      </c>
      <c r="E80" t="s">
        <v>90</v>
      </c>
      <c r="F80" t="s">
        <v>194</v>
      </c>
      <c r="G80" s="10">
        <v>4.5663451829671603E-2</v>
      </c>
      <c r="H80" s="5">
        <v>301.28396010398802</v>
      </c>
    </row>
    <row r="81" spans="1:8" x14ac:dyDescent="0.2">
      <c r="A81" t="s">
        <v>81</v>
      </c>
      <c r="B81">
        <v>10</v>
      </c>
      <c r="C81">
        <v>250</v>
      </c>
      <c r="D81" s="11">
        <v>30</v>
      </c>
      <c r="E81" t="s">
        <v>91</v>
      </c>
      <c r="F81" t="s">
        <v>195</v>
      </c>
      <c r="G81" s="3">
        <v>5.63183162967031E-2</v>
      </c>
      <c r="H81" s="5">
        <v>300.93435311317398</v>
      </c>
    </row>
    <row r="82" spans="1:8" x14ac:dyDescent="0.2">
      <c r="A82" t="s">
        <v>92</v>
      </c>
      <c r="B82">
        <v>1</v>
      </c>
      <c r="C82">
        <v>500</v>
      </c>
      <c r="D82" s="11">
        <v>30</v>
      </c>
      <c r="E82" t="s">
        <v>93</v>
      </c>
      <c r="F82" s="4" t="s">
        <v>106</v>
      </c>
      <c r="G82" s="3">
        <v>5.26547450547174E-2</v>
      </c>
      <c r="H82">
        <v>304.23228216171202</v>
      </c>
    </row>
    <row r="83" spans="1:8" x14ac:dyDescent="0.2">
      <c r="A83" t="s">
        <v>92</v>
      </c>
      <c r="B83">
        <v>2</v>
      </c>
      <c r="C83">
        <v>500</v>
      </c>
      <c r="D83" s="11">
        <v>30</v>
      </c>
      <c r="E83" t="s">
        <v>94</v>
      </c>
      <c r="F83" s="4" t="s">
        <v>107</v>
      </c>
      <c r="G83" s="3">
        <v>3.2049325438007398E-2</v>
      </c>
      <c r="H83">
        <v>303.336042165756</v>
      </c>
    </row>
    <row r="84" spans="1:8" x14ac:dyDescent="0.2">
      <c r="A84" t="s">
        <v>92</v>
      </c>
      <c r="B84">
        <v>3</v>
      </c>
      <c r="C84">
        <v>500</v>
      </c>
      <c r="D84" s="11">
        <v>30</v>
      </c>
      <c r="E84" t="s">
        <v>95</v>
      </c>
      <c r="F84" s="4" t="s">
        <v>108</v>
      </c>
      <c r="G84" s="3">
        <v>2.9512862053299699E-2</v>
      </c>
      <c r="H84">
        <v>302.23850274085999</v>
      </c>
    </row>
    <row r="85" spans="1:8" x14ac:dyDescent="0.2">
      <c r="A85" t="s">
        <v>92</v>
      </c>
      <c r="B85">
        <v>4</v>
      </c>
      <c r="C85">
        <v>500</v>
      </c>
      <c r="D85" s="11">
        <v>30</v>
      </c>
      <c r="E85" t="s">
        <v>96</v>
      </c>
      <c r="F85" s="4" t="s">
        <v>109</v>
      </c>
      <c r="G85" s="3">
        <v>5.3029842845613802E-2</v>
      </c>
      <c r="H85">
        <v>302.526123046875</v>
      </c>
    </row>
    <row r="86" spans="1:8" x14ac:dyDescent="0.2">
      <c r="A86" t="s">
        <v>92</v>
      </c>
      <c r="B86">
        <v>5</v>
      </c>
      <c r="C86">
        <v>500</v>
      </c>
      <c r="D86" s="11">
        <v>30</v>
      </c>
      <c r="E86" t="s">
        <v>97</v>
      </c>
      <c r="F86" s="4" t="s">
        <v>110</v>
      </c>
      <c r="G86" s="3">
        <v>4.49408266224334E-2</v>
      </c>
      <c r="H86">
        <v>302.07850098609902</v>
      </c>
    </row>
    <row r="87" spans="1:8" x14ac:dyDescent="0.2">
      <c r="A87" t="s">
        <v>92</v>
      </c>
      <c r="B87">
        <v>6</v>
      </c>
      <c r="C87">
        <v>500</v>
      </c>
      <c r="D87" s="11">
        <v>30</v>
      </c>
      <c r="E87" t="s">
        <v>98</v>
      </c>
      <c r="F87" s="4" t="s">
        <v>111</v>
      </c>
      <c r="G87" s="3">
        <v>3.2066364485657903E-2</v>
      </c>
      <c r="H87">
        <v>302.051367044448</v>
      </c>
    </row>
    <row r="88" spans="1:8" x14ac:dyDescent="0.2">
      <c r="A88" t="s">
        <v>92</v>
      </c>
      <c r="B88">
        <v>7</v>
      </c>
      <c r="C88">
        <v>500</v>
      </c>
      <c r="D88" s="11">
        <v>30</v>
      </c>
      <c r="E88" t="s">
        <v>99</v>
      </c>
      <c r="F88" s="4" t="s">
        <v>112</v>
      </c>
      <c r="G88" s="3">
        <v>3.28822662173546E-2</v>
      </c>
      <c r="H88">
        <v>302.41801810264502</v>
      </c>
    </row>
    <row r="89" spans="1:8" x14ac:dyDescent="0.2">
      <c r="A89" t="s">
        <v>92</v>
      </c>
      <c r="B89">
        <v>8</v>
      </c>
      <c r="C89">
        <v>500</v>
      </c>
      <c r="D89" s="11">
        <v>30</v>
      </c>
      <c r="E89" t="s">
        <v>100</v>
      </c>
      <c r="F89" s="4" t="s">
        <v>113</v>
      </c>
      <c r="G89" s="3">
        <v>3.1340029247191301E-2</v>
      </c>
      <c r="H89">
        <v>302.03369402885397</v>
      </c>
    </row>
    <row r="90" spans="1:8" x14ac:dyDescent="0.2">
      <c r="A90" t="s">
        <v>92</v>
      </c>
      <c r="B90">
        <v>9</v>
      </c>
      <c r="C90">
        <v>500</v>
      </c>
      <c r="D90" s="11">
        <v>30</v>
      </c>
      <c r="E90" t="s">
        <v>101</v>
      </c>
      <c r="F90" s="4" t="s">
        <v>114</v>
      </c>
      <c r="G90" s="3">
        <v>3.3076782909750302E-2</v>
      </c>
      <c r="H90">
        <v>300.16322016715998</v>
      </c>
    </row>
    <row r="91" spans="1:8" x14ac:dyDescent="0.2">
      <c r="A91" t="s">
        <v>92</v>
      </c>
      <c r="B91">
        <v>10</v>
      </c>
      <c r="C91">
        <v>500</v>
      </c>
      <c r="D91" s="11">
        <v>30</v>
      </c>
      <c r="E91" t="s">
        <v>102</v>
      </c>
      <c r="F91" s="4" t="s">
        <v>115</v>
      </c>
      <c r="G91" s="3">
        <v>3.3177422251105197E-2</v>
      </c>
      <c r="H91">
        <v>301.04849791526698</v>
      </c>
    </row>
    <row r="92" spans="1:8" x14ac:dyDescent="0.2">
      <c r="G92" s="3"/>
    </row>
    <row r="99" spans="3:5" x14ac:dyDescent="0.2">
      <c r="C99" s="6" t="s">
        <v>196</v>
      </c>
      <c r="D99" s="12" t="s">
        <v>197</v>
      </c>
      <c r="E99" s="6" t="s">
        <v>198</v>
      </c>
    </row>
    <row r="100" spans="3:5" x14ac:dyDescent="0.2">
      <c r="C100" s="7" t="s">
        <v>199</v>
      </c>
      <c r="D100" s="13">
        <f>MIN(G2:G91)</f>
        <v>4.3452925996836696E-3</v>
      </c>
      <c r="E100" s="8">
        <f>MIN(H2:H91)</f>
        <v>33.659386157989502</v>
      </c>
    </row>
    <row r="101" spans="3:5" x14ac:dyDescent="0.2">
      <c r="C101" s="7" t="s">
        <v>200</v>
      </c>
      <c r="D101" s="13">
        <f>MAX(G2:G91)</f>
        <v>7.7500460489961301E-2</v>
      </c>
      <c r="E101" s="9">
        <f>MAX(H2:H91)</f>
        <v>792.00049304962101</v>
      </c>
    </row>
    <row r="102" spans="3:5" x14ac:dyDescent="0.2">
      <c r="C102" s="7" t="s">
        <v>201</v>
      </c>
      <c r="D102" s="13">
        <f>AVERAGE(G2:G91)</f>
        <v>3.424132051546331E-2</v>
      </c>
      <c r="E102" s="9">
        <f>AVERAGE(H2:H91)</f>
        <v>220.81401673422903</v>
      </c>
    </row>
    <row r="103" spans="3:5" x14ac:dyDescent="0.2">
      <c r="C103" s="7" t="s">
        <v>202</v>
      </c>
      <c r="D103" s="13">
        <f>STDEV(G2:G91)</f>
        <v>1.4305166672114442E-2</v>
      </c>
      <c r="E103" s="8">
        <f>STDEV(H2:H91)</f>
        <v>139.59509507653843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TSA-KWET-SHIN</dc:creator>
  <cp:lastModifiedBy>Christopher TSA-KWET-SHIN</cp:lastModifiedBy>
  <dcterms:created xsi:type="dcterms:W3CDTF">2025-01-24T10:35:40Z</dcterms:created>
  <dcterms:modified xsi:type="dcterms:W3CDTF">2025-01-24T11:48:37Z</dcterms:modified>
</cp:coreProperties>
</file>