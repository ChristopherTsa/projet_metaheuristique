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stafr-my.sharepoint.com/personal/christopher_tsa_ensta-paris_fr/Documents/ENSTA/3A/Metaheuristique/project/final_results/"/>
    </mc:Choice>
  </mc:AlternateContent>
  <xr:revisionPtr revIDLastSave="6" documentId="8_{9B64BC59-8E25-EC4C-8220-64D3F56FFE3F}" xr6:coauthVersionLast="47" xr6:coauthVersionMax="47" xr10:uidLastSave="{FBAABC18-575F-884D-B716-F1A019FEE10C}"/>
  <bookViews>
    <workbookView xWindow="0" yWindow="500" windowWidth="28800" windowHeight="17500" xr2:uid="{D4557CCB-A576-0348-A72A-41406F20C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1" l="1"/>
  <c r="E100" i="1"/>
  <c r="E103" i="1"/>
  <c r="E102" i="1"/>
  <c r="D103" i="1"/>
  <c r="D102" i="1"/>
  <c r="D101" i="1"/>
  <c r="D100" i="1"/>
</calcChain>
</file>

<file path=xl/sharedStrings.xml><?xml version="1.0" encoding="utf-8"?>
<sst xmlns="http://schemas.openxmlformats.org/spreadsheetml/2006/main" count="285" uniqueCount="200">
  <si>
    <t>Fichier</t>
  </si>
  <si>
    <t>Instance</t>
  </si>
  <si>
    <t>Nombre de projets (N)</t>
  </si>
  <si>
    <t>Nombre de ressources (M)</t>
  </si>
  <si>
    <t>Profit optimal</t>
  </si>
  <si>
    <t>knpacb1</t>
  </si>
  <si>
    <t>knapcb2</t>
  </si>
  <si>
    <t>knapcb4</t>
  </si>
  <si>
    <t>knapcb5</t>
  </si>
  <si>
    <t>knapcb7</t>
  </si>
  <si>
    <t>Profit [VNS]</t>
  </si>
  <si>
    <t>Ecart [VNS]</t>
  </si>
  <si>
    <t>Temps (s)  [VNS]</t>
  </si>
  <si>
    <t>24381.0</t>
  </si>
  <si>
    <t>24159.0</t>
  </si>
  <si>
    <t>24274.0</t>
  </si>
  <si>
    <t>23896.0</t>
  </si>
  <si>
    <t>23551.0</t>
  </si>
  <si>
    <t>23523.0</t>
  </si>
  <si>
    <t>23534.0</t>
  </si>
  <si>
    <t>23284.0</t>
  </si>
  <si>
    <t>23991.0</t>
  </si>
  <si>
    <t>23808.0</t>
  </si>
  <si>
    <t>24613.0</t>
  </si>
  <si>
    <t>24483.0</t>
  </si>
  <si>
    <t>25591.0</t>
  </si>
  <si>
    <t>25381.0</t>
  </si>
  <si>
    <t>23410.0</t>
  </si>
  <si>
    <t>23254.0</t>
  </si>
  <si>
    <t>24216.0</t>
  </si>
  <si>
    <t>24030.0</t>
  </si>
  <si>
    <t>24411.0</t>
  </si>
  <si>
    <t>24290.0</t>
  </si>
  <si>
    <t>knapcb3</t>
  </si>
  <si>
    <t>knapcb6</t>
  </si>
  <si>
    <t>knapcb8</t>
  </si>
  <si>
    <t>knapcb9</t>
  </si>
  <si>
    <t>59312.0</t>
  </si>
  <si>
    <t>58454.0</t>
  </si>
  <si>
    <t>61472.0</t>
  </si>
  <si>
    <t>60807.0</t>
  </si>
  <si>
    <t>62130.0</t>
  </si>
  <si>
    <t>61450.0</t>
  </si>
  <si>
    <t>59446.0</t>
  </si>
  <si>
    <t>58752.0</t>
  </si>
  <si>
    <t>58951.0</t>
  </si>
  <si>
    <t>58529.0</t>
  </si>
  <si>
    <t>60056.0</t>
  </si>
  <si>
    <t>59394.0</t>
  </si>
  <si>
    <t>60414.0</t>
  </si>
  <si>
    <t>59897.0</t>
  </si>
  <si>
    <t>60879.0</t>
  </si>
  <si>
    <t>61885.0</t>
  </si>
  <si>
    <t>61531.0</t>
  </si>
  <si>
    <t>58959.0</t>
  </si>
  <si>
    <t>58607.0</t>
  </si>
  <si>
    <t>120130.0</t>
  </si>
  <si>
    <t>117837.0</t>
  </si>
  <si>
    <t>119952.0</t>
  </si>
  <si>
    <t>117248.0</t>
  </si>
  <si>
    <t>121109.0</t>
  </si>
  <si>
    <t>120305.0</t>
  </si>
  <si>
    <t>120798.0</t>
  </si>
  <si>
    <t>120373.0</t>
  </si>
  <si>
    <t>122319.0</t>
  </si>
  <si>
    <t>121279.0</t>
  </si>
  <si>
    <t>122007.0</t>
  </si>
  <si>
    <t>121113.0</t>
  </si>
  <si>
    <t>119113.0</t>
  </si>
  <si>
    <t>118245.0</t>
  </si>
  <si>
    <t>120568.0</t>
  </si>
  <si>
    <t>119976.0</t>
  </si>
  <si>
    <t>121575.0</t>
  </si>
  <si>
    <t>120562.0</t>
  </si>
  <si>
    <t>120699.0</t>
  </si>
  <si>
    <t>119792.0</t>
  </si>
  <si>
    <t>23064.0</t>
  </si>
  <si>
    <t>22667.0</t>
  </si>
  <si>
    <t>22801.0</t>
  </si>
  <si>
    <t>22136.0</t>
  </si>
  <si>
    <t>22131.0</t>
  </si>
  <si>
    <t>21378.0</t>
  </si>
  <si>
    <t>22772.0</t>
  </si>
  <si>
    <t>22468.0</t>
  </si>
  <si>
    <t>22751.0</t>
  </si>
  <si>
    <t>22258.0</t>
  </si>
  <si>
    <t>22777.0</t>
  </si>
  <si>
    <t>22045.0</t>
  </si>
  <si>
    <t>21875.0</t>
  </si>
  <si>
    <t>21486.0</t>
  </si>
  <si>
    <t>22635.0</t>
  </si>
  <si>
    <t>21847.0</t>
  </si>
  <si>
    <t>22511.0</t>
  </si>
  <si>
    <t>22047.0</t>
  </si>
  <si>
    <t>22702.0</t>
  </si>
  <si>
    <t>22193.0</t>
  </si>
  <si>
    <t>59187.0</t>
  </si>
  <si>
    <t>58634.0</t>
  </si>
  <si>
    <t>58662.0</t>
  </si>
  <si>
    <t>58320.0</t>
  </si>
  <si>
    <t>58094.0</t>
  </si>
  <si>
    <t>57264.0</t>
  </si>
  <si>
    <t>61000.0</t>
  </si>
  <si>
    <t>60573.0</t>
  </si>
  <si>
    <t>58092.0</t>
  </si>
  <si>
    <t>56501.0</t>
  </si>
  <si>
    <t>58803.0</t>
  </si>
  <si>
    <t>57789.0</t>
  </si>
  <si>
    <t>57778.0</t>
  </si>
  <si>
    <t>58917.0</t>
  </si>
  <si>
    <t>57973.0</t>
  </si>
  <si>
    <t>59384.0</t>
  </si>
  <si>
    <t>58281.0</t>
  </si>
  <si>
    <t>59193.0</t>
  </si>
  <si>
    <t>58401.0</t>
  </si>
  <si>
    <t>117726.0</t>
  </si>
  <si>
    <t>116434.0</t>
  </si>
  <si>
    <t>119139.0</t>
  </si>
  <si>
    <t>118404.0</t>
  </si>
  <si>
    <t>119159.0</t>
  </si>
  <si>
    <t>117104.0</t>
  </si>
  <si>
    <t>118802.0</t>
  </si>
  <si>
    <t>117453.0</t>
  </si>
  <si>
    <t>115260.0</t>
  </si>
  <si>
    <t>119454.0</t>
  </si>
  <si>
    <t>118286.0</t>
  </si>
  <si>
    <t>119749.0</t>
  </si>
  <si>
    <t>118579.0</t>
  </si>
  <si>
    <t>118288.0</t>
  </si>
  <si>
    <t>116535.0</t>
  </si>
  <si>
    <t>117779.0</t>
  </si>
  <si>
    <t>116453.0</t>
  </si>
  <si>
    <t>119125.0</t>
  </si>
  <si>
    <t>117691.0</t>
  </si>
  <si>
    <t>21946.0</t>
  </si>
  <si>
    <t>21250.0</t>
  </si>
  <si>
    <t>21716.0</t>
  </si>
  <si>
    <t>20068.0</t>
  </si>
  <si>
    <t>20754.0</t>
  </si>
  <si>
    <t>19570.0</t>
  </si>
  <si>
    <t>21464.0</t>
  </si>
  <si>
    <t>21085.0</t>
  </si>
  <si>
    <t>21814.0</t>
  </si>
  <si>
    <t>20840.0</t>
  </si>
  <si>
    <t>22176.0</t>
  </si>
  <si>
    <t>21799.0</t>
  </si>
  <si>
    <t>21255.0</t>
  </si>
  <si>
    <t>21397.0</t>
  </si>
  <si>
    <t>20626.0</t>
  </si>
  <si>
    <t>22493.0</t>
  </si>
  <si>
    <t>22220.0</t>
  </si>
  <si>
    <t>20983.0</t>
  </si>
  <si>
    <t>20009.0</t>
  </si>
  <si>
    <t>56693.0</t>
  </si>
  <si>
    <t>54402.0</t>
  </si>
  <si>
    <t>58318.0</t>
  </si>
  <si>
    <t>56175.0</t>
  </si>
  <si>
    <t>56553.0</t>
  </si>
  <si>
    <t>55164.0</t>
  </si>
  <si>
    <t>56863.0</t>
  </si>
  <si>
    <t>55848.0</t>
  </si>
  <si>
    <t>56629.0</t>
  </si>
  <si>
    <t>54957.0</t>
  </si>
  <si>
    <t>57119.0</t>
  </si>
  <si>
    <t>55996.0</t>
  </si>
  <si>
    <t>56292.0</t>
  </si>
  <si>
    <t>55213.0</t>
  </si>
  <si>
    <t>56403.0</t>
  </si>
  <si>
    <t>55045.0</t>
  </si>
  <si>
    <t>57442.0</t>
  </si>
  <si>
    <t>55625.0</t>
  </si>
  <si>
    <t>56447.0</t>
  </si>
  <si>
    <t>54483.0</t>
  </si>
  <si>
    <t>115868.0</t>
  </si>
  <si>
    <t>113706.0</t>
  </si>
  <si>
    <t>114667.0</t>
  </si>
  <si>
    <t>112196.0</t>
  </si>
  <si>
    <t>116661.0</t>
  </si>
  <si>
    <t>114554.0</t>
  </si>
  <si>
    <t>115237.0</t>
  </si>
  <si>
    <t>113264.0</t>
  </si>
  <si>
    <t>116353.0</t>
  </si>
  <si>
    <t>114689.0</t>
  </si>
  <si>
    <t>115604.0</t>
  </si>
  <si>
    <t>113182.0</t>
  </si>
  <si>
    <t>113952.0</t>
  </si>
  <si>
    <t>112096.0</t>
  </si>
  <si>
    <t>114199.0</t>
  </si>
  <si>
    <t>112084.0</t>
  </si>
  <si>
    <t>115247.0</t>
  </si>
  <si>
    <t>112880.0</t>
  </si>
  <si>
    <t>116947.0</t>
  </si>
  <si>
    <t>114580.0</t>
  </si>
  <si>
    <t>Statistique</t>
  </si>
  <si>
    <t>Valeur min</t>
  </si>
  <si>
    <t>Valeur max</t>
  </si>
  <si>
    <t>Moyenne</t>
  </si>
  <si>
    <t>Ecart-Type</t>
  </si>
  <si>
    <t>Temps (s)</t>
  </si>
  <si>
    <t>Ecart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</si>
</sst>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2" fontId="0" fillId="0" borderId="0" xfId="0" applyNumberFormat="1"/>
    <xf numFmtId="9" fontId="0" fillId="0" borderId="0" xfId="1" applyFont="1"/>
    <xf numFmtId="0" fontId="2" fillId="2" borderId="1" xfId="0" applyFont="1" applyFill="1" applyBorder="1"/>
    <xf numFmtId="2" fontId="0" fillId="0" borderId="1" xfId="1" applyNumberFormat="1" applyFont="1" applyBorder="1"/>
    <xf numFmtId="2" fontId="0" fillId="0" borderId="1" xfId="0" applyNumberFormat="1" applyBorder="1"/>
    <xf numFmtId="0" fontId="3" fillId="3" borderId="1" xfId="0" applyFont="1" applyFill="1" applyBorder="1"/>
    <xf numFmtId="10" fontId="0" fillId="0" borderId="0" xfId="1" applyNumberFormat="1" applyFont="1"/>
    <xf numFmtId="10" fontId="2" fillId="2" borderId="1" xfId="1" applyNumberFormat="1" applyFont="1" applyFill="1" applyBorder="1"/>
    <xf numFmtId="10" fontId="0" fillId="0" borderId="1" xfId="1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6E64-06F9-944D-BEC0-5A21D9029D41}">
  <dimension ref="A1:H103"/>
  <sheetViews>
    <sheetView tabSelected="1" topLeftCell="A90" workbookViewId="0">
      <selection activeCell="E107" sqref="E107"/>
    </sheetView>
  </sheetViews>
  <sheetFormatPr baseColWidth="10" defaultRowHeight="16" x14ac:dyDescent="0.2"/>
  <cols>
    <col min="3" max="3" width="18.5" customWidth="1"/>
    <col min="4" max="4" width="18.5" style="8" customWidth="1"/>
    <col min="5" max="5" width="17.5" customWidth="1"/>
    <col min="6" max="6" width="21.5" customWidth="1"/>
    <col min="7" max="7" width="21.83203125" customWidth="1"/>
    <col min="8" max="8" width="22" customWidth="1"/>
  </cols>
  <sheetData>
    <row r="1" spans="1:8" x14ac:dyDescent="0.2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10</v>
      </c>
      <c r="G1" s="1" t="s">
        <v>11</v>
      </c>
      <c r="H1" s="2" t="s">
        <v>12</v>
      </c>
    </row>
    <row r="2" spans="1:8" x14ac:dyDescent="0.2">
      <c r="A2" t="s">
        <v>5</v>
      </c>
      <c r="B2">
        <v>1</v>
      </c>
      <c r="C2">
        <v>100</v>
      </c>
      <c r="D2" s="8">
        <v>5</v>
      </c>
      <c r="E2" t="s">
        <v>13</v>
      </c>
      <c r="F2" t="s">
        <v>14</v>
      </c>
      <c r="G2" s="3">
        <v>9.1054509659160808E-3</v>
      </c>
      <c r="H2">
        <v>60.028452157974201</v>
      </c>
    </row>
    <row r="3" spans="1:8" x14ac:dyDescent="0.2">
      <c r="A3" t="s">
        <v>5</v>
      </c>
      <c r="B3">
        <v>2</v>
      </c>
      <c r="C3">
        <v>100</v>
      </c>
      <c r="D3" s="8">
        <v>5</v>
      </c>
      <c r="E3" t="s">
        <v>15</v>
      </c>
      <c r="F3" t="s">
        <v>16</v>
      </c>
      <c r="G3" s="3">
        <v>1.5572217187113701E-2</v>
      </c>
      <c r="H3">
        <v>60.003311157226499</v>
      </c>
    </row>
    <row r="4" spans="1:8" x14ac:dyDescent="0.2">
      <c r="A4" t="s">
        <v>5</v>
      </c>
      <c r="B4">
        <v>3</v>
      </c>
      <c r="C4">
        <v>100</v>
      </c>
      <c r="D4" s="8">
        <v>5</v>
      </c>
      <c r="E4" t="s">
        <v>17</v>
      </c>
      <c r="F4" t="s">
        <v>18</v>
      </c>
      <c r="G4" s="3">
        <v>1.1889091758311701E-3</v>
      </c>
      <c r="H4">
        <v>60.027470111846903</v>
      </c>
    </row>
    <row r="5" spans="1:8" x14ac:dyDescent="0.2">
      <c r="A5" t="s">
        <v>5</v>
      </c>
      <c r="B5">
        <v>4</v>
      </c>
      <c r="C5">
        <v>100</v>
      </c>
      <c r="D5" s="8">
        <v>5</v>
      </c>
      <c r="E5" t="s">
        <v>19</v>
      </c>
      <c r="F5" t="s">
        <v>20</v>
      </c>
      <c r="G5" s="3">
        <v>1.0622928528936801E-2</v>
      </c>
      <c r="H5">
        <v>60.009952068328801</v>
      </c>
    </row>
    <row r="6" spans="1:8" x14ac:dyDescent="0.2">
      <c r="A6" t="s">
        <v>5</v>
      </c>
      <c r="B6">
        <v>5</v>
      </c>
      <c r="C6">
        <v>100</v>
      </c>
      <c r="D6" s="8">
        <v>5</v>
      </c>
      <c r="E6" t="s">
        <v>21</v>
      </c>
      <c r="F6" t="s">
        <v>22</v>
      </c>
      <c r="G6" s="3">
        <v>7.62786044766787E-3</v>
      </c>
      <c r="H6">
        <v>60.004940986633301</v>
      </c>
    </row>
    <row r="7" spans="1:8" x14ac:dyDescent="0.2">
      <c r="A7" t="s">
        <v>5</v>
      </c>
      <c r="B7">
        <v>6</v>
      </c>
      <c r="C7">
        <v>100</v>
      </c>
      <c r="D7" s="8">
        <v>5</v>
      </c>
      <c r="E7" t="s">
        <v>23</v>
      </c>
      <c r="F7" t="s">
        <v>24</v>
      </c>
      <c r="G7" s="3">
        <v>5.2817616706618397E-3</v>
      </c>
      <c r="H7">
        <v>60.001328229904097</v>
      </c>
    </row>
    <row r="8" spans="1:8" x14ac:dyDescent="0.2">
      <c r="A8" t="s">
        <v>5</v>
      </c>
      <c r="B8">
        <v>7</v>
      </c>
      <c r="C8">
        <v>100</v>
      </c>
      <c r="D8" s="8">
        <v>5</v>
      </c>
      <c r="E8" t="s">
        <v>25</v>
      </c>
      <c r="F8" t="s">
        <v>26</v>
      </c>
      <c r="G8" s="3">
        <v>8.2060099253643808E-3</v>
      </c>
      <c r="H8">
        <v>60.008661985397303</v>
      </c>
    </row>
    <row r="9" spans="1:8" x14ac:dyDescent="0.2">
      <c r="A9" t="s">
        <v>5</v>
      </c>
      <c r="B9">
        <v>8</v>
      </c>
      <c r="C9">
        <v>100</v>
      </c>
      <c r="D9" s="8">
        <v>5</v>
      </c>
      <c r="E9" t="s">
        <v>27</v>
      </c>
      <c r="F9" t="s">
        <v>28</v>
      </c>
      <c r="G9" s="3">
        <v>6.66381888082016E-3</v>
      </c>
      <c r="H9">
        <v>60.000055074691701</v>
      </c>
    </row>
    <row r="10" spans="1:8" x14ac:dyDescent="0.2">
      <c r="A10" t="s">
        <v>5</v>
      </c>
      <c r="B10">
        <v>9</v>
      </c>
      <c r="C10">
        <v>100</v>
      </c>
      <c r="D10" s="8">
        <v>5</v>
      </c>
      <c r="E10" t="s">
        <v>29</v>
      </c>
      <c r="F10" t="s">
        <v>30</v>
      </c>
      <c r="G10" s="3">
        <v>7.6808721506442003E-3</v>
      </c>
      <c r="H10">
        <v>60.0019402503967</v>
      </c>
    </row>
    <row r="11" spans="1:8" x14ac:dyDescent="0.2">
      <c r="A11" t="s">
        <v>5</v>
      </c>
      <c r="B11">
        <v>10</v>
      </c>
      <c r="C11">
        <v>100</v>
      </c>
      <c r="D11" s="8">
        <v>5</v>
      </c>
      <c r="E11" t="s">
        <v>31</v>
      </c>
      <c r="F11" t="s">
        <v>32</v>
      </c>
      <c r="G11" s="3">
        <v>4.9567817787063203E-3</v>
      </c>
      <c r="H11">
        <v>60.003953933715799</v>
      </c>
    </row>
    <row r="12" spans="1:8" x14ac:dyDescent="0.2">
      <c r="A12" t="s">
        <v>6</v>
      </c>
      <c r="B12">
        <v>1</v>
      </c>
      <c r="C12">
        <v>250</v>
      </c>
      <c r="D12" s="8">
        <v>5</v>
      </c>
      <c r="E12" t="s">
        <v>37</v>
      </c>
      <c r="F12" t="s">
        <v>38</v>
      </c>
      <c r="G12" s="1">
        <v>1.44658753709198E-2</v>
      </c>
      <c r="H12" s="2">
        <v>60.043359041213897</v>
      </c>
    </row>
    <row r="13" spans="1:8" x14ac:dyDescent="0.2">
      <c r="A13" t="s">
        <v>6</v>
      </c>
      <c r="B13">
        <v>2</v>
      </c>
      <c r="C13">
        <v>250</v>
      </c>
      <c r="D13" s="8">
        <v>5</v>
      </c>
      <c r="E13" t="s">
        <v>39</v>
      </c>
      <c r="F13" t="s">
        <v>40</v>
      </c>
      <c r="G13" s="1">
        <v>1.0817933368037399E-2</v>
      </c>
      <c r="H13" s="2">
        <v>60.052800893783498</v>
      </c>
    </row>
    <row r="14" spans="1:8" x14ac:dyDescent="0.2">
      <c r="A14" t="s">
        <v>6</v>
      </c>
      <c r="B14">
        <v>3</v>
      </c>
      <c r="C14">
        <v>250</v>
      </c>
      <c r="D14" s="8">
        <v>5</v>
      </c>
      <c r="E14" t="s">
        <v>41</v>
      </c>
      <c r="F14" t="s">
        <v>42</v>
      </c>
      <c r="G14" s="1">
        <v>1.09447931755995E-2</v>
      </c>
      <c r="H14" s="2">
        <v>60.138628959655698</v>
      </c>
    </row>
    <row r="15" spans="1:8" x14ac:dyDescent="0.2">
      <c r="A15" t="s">
        <v>6</v>
      </c>
      <c r="B15">
        <v>4</v>
      </c>
      <c r="C15">
        <v>250</v>
      </c>
      <c r="D15" s="8">
        <v>5</v>
      </c>
      <c r="E15" t="s">
        <v>43</v>
      </c>
      <c r="F15" t="s">
        <v>44</v>
      </c>
      <c r="G15" s="1">
        <v>1.16744608552299E-2</v>
      </c>
      <c r="H15" s="2">
        <v>60.071480035781804</v>
      </c>
    </row>
    <row r="16" spans="1:8" x14ac:dyDescent="0.2">
      <c r="A16" t="s">
        <v>6</v>
      </c>
      <c r="B16">
        <v>5</v>
      </c>
      <c r="C16">
        <v>250</v>
      </c>
      <c r="D16" s="8">
        <v>5</v>
      </c>
      <c r="E16" t="s">
        <v>45</v>
      </c>
      <c r="F16" t="s">
        <v>46</v>
      </c>
      <c r="G16" s="1">
        <v>7.1584875574629697E-3</v>
      </c>
      <c r="H16" s="2">
        <v>60.019131898879998</v>
      </c>
    </row>
    <row r="17" spans="1:8" x14ac:dyDescent="0.2">
      <c r="A17" t="s">
        <v>6</v>
      </c>
      <c r="B17">
        <v>6</v>
      </c>
      <c r="C17">
        <v>250</v>
      </c>
      <c r="D17" s="8">
        <v>5</v>
      </c>
      <c r="E17" t="s">
        <v>47</v>
      </c>
      <c r="F17" t="s">
        <v>48</v>
      </c>
      <c r="G17" s="1">
        <v>1.1023045157852599E-2</v>
      </c>
      <c r="H17" s="2">
        <v>60.0649349689483</v>
      </c>
    </row>
    <row r="18" spans="1:8" x14ac:dyDescent="0.2">
      <c r="A18" t="s">
        <v>6</v>
      </c>
      <c r="B18">
        <v>7</v>
      </c>
      <c r="C18">
        <v>250</v>
      </c>
      <c r="D18" s="8">
        <v>5</v>
      </c>
      <c r="E18" t="s">
        <v>49</v>
      </c>
      <c r="F18" t="s">
        <v>50</v>
      </c>
      <c r="G18" s="1">
        <v>8.5576190949117701E-3</v>
      </c>
      <c r="H18" s="2">
        <v>60.026234149932797</v>
      </c>
    </row>
    <row r="19" spans="1:8" x14ac:dyDescent="0.2">
      <c r="A19" t="s">
        <v>6</v>
      </c>
      <c r="B19">
        <v>8</v>
      </c>
      <c r="C19">
        <v>250</v>
      </c>
      <c r="D19" s="8">
        <v>5</v>
      </c>
      <c r="E19" t="s">
        <v>39</v>
      </c>
      <c r="F19" t="s">
        <v>51</v>
      </c>
      <c r="G19" s="1">
        <v>9.6466684018740208E-3</v>
      </c>
      <c r="H19" s="2">
        <v>60.1343319416046</v>
      </c>
    </row>
    <row r="20" spans="1:8" x14ac:dyDescent="0.2">
      <c r="A20" t="s">
        <v>6</v>
      </c>
      <c r="B20">
        <v>9</v>
      </c>
      <c r="C20">
        <v>250</v>
      </c>
      <c r="D20" s="8">
        <v>5</v>
      </c>
      <c r="E20" t="s">
        <v>52</v>
      </c>
      <c r="F20" t="s">
        <v>53</v>
      </c>
      <c r="G20" s="1">
        <v>5.72028763028197E-3</v>
      </c>
      <c r="H20" s="2">
        <v>60.080166339874197</v>
      </c>
    </row>
    <row r="21" spans="1:8" x14ac:dyDescent="0.2">
      <c r="A21" t="s">
        <v>6</v>
      </c>
      <c r="B21">
        <v>10</v>
      </c>
      <c r="C21">
        <v>250</v>
      </c>
      <c r="D21" s="8">
        <v>5</v>
      </c>
      <c r="E21" t="s">
        <v>54</v>
      </c>
      <c r="F21" t="s">
        <v>55</v>
      </c>
      <c r="G21" s="1">
        <v>5.9702505130684001E-3</v>
      </c>
      <c r="H21" s="2">
        <v>60.129679203033398</v>
      </c>
    </row>
    <row r="22" spans="1:8" x14ac:dyDescent="0.2">
      <c r="A22" t="s">
        <v>33</v>
      </c>
      <c r="B22">
        <v>1</v>
      </c>
      <c r="C22">
        <v>500</v>
      </c>
      <c r="D22" s="8">
        <v>5</v>
      </c>
      <c r="E22" t="s">
        <v>56</v>
      </c>
      <c r="F22" t="s">
        <v>58</v>
      </c>
      <c r="G22" s="1">
        <v>1.4817281278614799E-3</v>
      </c>
      <c r="H22" s="2">
        <v>60.645710706710801</v>
      </c>
    </row>
    <row r="23" spans="1:8" x14ac:dyDescent="0.2">
      <c r="A23" t="s">
        <v>33</v>
      </c>
      <c r="B23">
        <v>2</v>
      </c>
      <c r="C23">
        <v>500</v>
      </c>
      <c r="D23" s="8">
        <v>5</v>
      </c>
      <c r="E23" t="s">
        <v>57</v>
      </c>
      <c r="F23" t="s">
        <v>59</v>
      </c>
      <c r="G23" s="1">
        <v>4.9984300347089604E-3</v>
      </c>
      <c r="H23" s="2">
        <v>61.457689046859699</v>
      </c>
    </row>
    <row r="24" spans="1:8" x14ac:dyDescent="0.2">
      <c r="A24" t="s">
        <v>33</v>
      </c>
      <c r="B24">
        <v>3</v>
      </c>
      <c r="C24">
        <v>500</v>
      </c>
      <c r="D24" s="8">
        <v>5</v>
      </c>
      <c r="E24" t="s">
        <v>60</v>
      </c>
      <c r="F24" t="s">
        <v>61</v>
      </c>
      <c r="G24" s="1">
        <v>6.63864782964106E-3</v>
      </c>
      <c r="H24" s="2">
        <v>61.428326129913302</v>
      </c>
    </row>
    <row r="25" spans="1:8" x14ac:dyDescent="0.2">
      <c r="A25" t="s">
        <v>33</v>
      </c>
      <c r="B25">
        <v>4</v>
      </c>
      <c r="C25">
        <v>500</v>
      </c>
      <c r="D25" s="8">
        <v>5</v>
      </c>
      <c r="E25" t="s">
        <v>62</v>
      </c>
      <c r="F25" t="s">
        <v>63</v>
      </c>
      <c r="G25" s="3">
        <v>3.5182701700359198E-3</v>
      </c>
      <c r="H25">
        <v>60.135098218917797</v>
      </c>
    </row>
    <row r="26" spans="1:8" x14ac:dyDescent="0.2">
      <c r="A26" t="s">
        <v>33</v>
      </c>
      <c r="B26">
        <v>5</v>
      </c>
      <c r="C26">
        <v>500</v>
      </c>
      <c r="D26" s="8">
        <v>5</v>
      </c>
      <c r="E26" t="s">
        <v>64</v>
      </c>
      <c r="F26" t="s">
        <v>65</v>
      </c>
      <c r="G26" s="3">
        <v>8.5023585869734002E-3</v>
      </c>
      <c r="H26">
        <v>61.379758119583101</v>
      </c>
    </row>
    <row r="27" spans="1:8" x14ac:dyDescent="0.2">
      <c r="A27" t="s">
        <v>33</v>
      </c>
      <c r="B27">
        <v>6</v>
      </c>
      <c r="C27">
        <v>500</v>
      </c>
      <c r="D27" s="8">
        <v>5</v>
      </c>
      <c r="E27" t="s">
        <v>66</v>
      </c>
      <c r="F27" t="s">
        <v>67</v>
      </c>
      <c r="G27" s="3">
        <v>7.3274484250903599E-3</v>
      </c>
      <c r="H27">
        <v>61.920313119888299</v>
      </c>
    </row>
    <row r="28" spans="1:8" x14ac:dyDescent="0.2">
      <c r="A28" t="s">
        <v>33</v>
      </c>
      <c r="B28">
        <v>7</v>
      </c>
      <c r="C28">
        <v>500</v>
      </c>
      <c r="D28" s="8">
        <v>5</v>
      </c>
      <c r="E28" t="s">
        <v>68</v>
      </c>
      <c r="F28" t="s">
        <v>69</v>
      </c>
      <c r="G28" s="3">
        <v>7.2871978709292797E-3</v>
      </c>
      <c r="H28">
        <v>61.713912963867102</v>
      </c>
    </row>
    <row r="29" spans="1:8" x14ac:dyDescent="0.2">
      <c r="A29" t="s">
        <v>33</v>
      </c>
      <c r="B29">
        <v>8</v>
      </c>
      <c r="C29">
        <v>500</v>
      </c>
      <c r="D29" s="8">
        <v>5</v>
      </c>
      <c r="E29" t="s">
        <v>70</v>
      </c>
      <c r="F29" t="s">
        <v>71</v>
      </c>
      <c r="G29" s="3">
        <v>4.9100922301107998E-3</v>
      </c>
      <c r="H29">
        <v>61.610614061355498</v>
      </c>
    </row>
    <row r="30" spans="1:8" x14ac:dyDescent="0.2">
      <c r="A30" t="s">
        <v>33</v>
      </c>
      <c r="B30">
        <v>9</v>
      </c>
      <c r="C30">
        <v>500</v>
      </c>
      <c r="D30" s="8">
        <v>5</v>
      </c>
      <c r="E30" t="s">
        <v>72</v>
      </c>
      <c r="F30" t="s">
        <v>73</v>
      </c>
      <c r="G30" s="3">
        <v>8.3323051614229895E-3</v>
      </c>
      <c r="H30">
        <v>61.350572109222398</v>
      </c>
    </row>
    <row r="31" spans="1:8" x14ac:dyDescent="0.2">
      <c r="A31" t="s">
        <v>33</v>
      </c>
      <c r="B31">
        <v>10</v>
      </c>
      <c r="C31">
        <v>500</v>
      </c>
      <c r="D31" s="8">
        <v>5</v>
      </c>
      <c r="E31" t="s">
        <v>74</v>
      </c>
      <c r="F31" t="s">
        <v>75</v>
      </c>
      <c r="G31" s="3">
        <v>7.5145610154185201E-3</v>
      </c>
      <c r="H31">
        <v>61.334366083145099</v>
      </c>
    </row>
    <row r="32" spans="1:8" x14ac:dyDescent="0.2">
      <c r="A32" t="s">
        <v>7</v>
      </c>
      <c r="B32">
        <v>1</v>
      </c>
      <c r="C32">
        <v>100</v>
      </c>
      <c r="D32" s="8">
        <v>10</v>
      </c>
      <c r="E32" t="s">
        <v>76</v>
      </c>
      <c r="F32" t="s">
        <v>77</v>
      </c>
      <c r="G32" s="3">
        <v>1.7212972597988201E-2</v>
      </c>
      <c r="H32">
        <v>60.000170946121202</v>
      </c>
    </row>
    <row r="33" spans="1:8" x14ac:dyDescent="0.2">
      <c r="A33" t="s">
        <v>7</v>
      </c>
      <c r="B33">
        <v>2</v>
      </c>
      <c r="C33">
        <v>100</v>
      </c>
      <c r="D33" s="8">
        <v>10</v>
      </c>
      <c r="E33" t="s">
        <v>78</v>
      </c>
      <c r="F33" t="s">
        <v>79</v>
      </c>
      <c r="G33" s="3">
        <v>2.9165387483005099E-2</v>
      </c>
      <c r="H33">
        <v>60.004204034805298</v>
      </c>
    </row>
    <row r="34" spans="1:8" x14ac:dyDescent="0.2">
      <c r="A34" t="s">
        <v>7</v>
      </c>
      <c r="B34">
        <v>3</v>
      </c>
      <c r="C34">
        <v>100</v>
      </c>
      <c r="D34" s="8">
        <v>10</v>
      </c>
      <c r="E34" t="s">
        <v>80</v>
      </c>
      <c r="F34" t="s">
        <v>81</v>
      </c>
      <c r="G34" s="3">
        <v>3.4024671275586199E-2</v>
      </c>
      <c r="H34">
        <v>60.003738164901698</v>
      </c>
    </row>
    <row r="35" spans="1:8" x14ac:dyDescent="0.2">
      <c r="A35" t="s">
        <v>7</v>
      </c>
      <c r="B35">
        <v>4</v>
      </c>
      <c r="C35">
        <v>100</v>
      </c>
      <c r="D35" s="8">
        <v>10</v>
      </c>
      <c r="E35" t="s">
        <v>82</v>
      </c>
      <c r="F35" t="s">
        <v>83</v>
      </c>
      <c r="G35" s="3">
        <v>1.33497277358159E-2</v>
      </c>
      <c r="H35">
        <v>60.0023097991943</v>
      </c>
    </row>
    <row r="36" spans="1:8" x14ac:dyDescent="0.2">
      <c r="A36" t="s">
        <v>7</v>
      </c>
      <c r="B36">
        <v>5</v>
      </c>
      <c r="C36">
        <v>100</v>
      </c>
      <c r="D36" s="8">
        <v>10</v>
      </c>
      <c r="E36" t="s">
        <v>84</v>
      </c>
      <c r="F36" t="s">
        <v>85</v>
      </c>
      <c r="G36" s="3">
        <v>2.1669377170234198E-2</v>
      </c>
      <c r="H36">
        <v>60.006142377853301</v>
      </c>
    </row>
    <row r="37" spans="1:8" x14ac:dyDescent="0.2">
      <c r="A37" t="s">
        <v>7</v>
      </c>
      <c r="B37">
        <v>6</v>
      </c>
      <c r="C37">
        <v>100</v>
      </c>
      <c r="D37" s="8">
        <v>10</v>
      </c>
      <c r="E37" t="s">
        <v>86</v>
      </c>
      <c r="F37" t="s">
        <v>87</v>
      </c>
      <c r="G37" s="3">
        <v>3.2137682750142602E-2</v>
      </c>
      <c r="H37">
        <v>60.0051720142364</v>
      </c>
    </row>
    <row r="38" spans="1:8" x14ac:dyDescent="0.2">
      <c r="A38" t="s">
        <v>7</v>
      </c>
      <c r="B38">
        <v>7</v>
      </c>
      <c r="C38">
        <v>100</v>
      </c>
      <c r="D38" s="8">
        <v>10</v>
      </c>
      <c r="E38" t="s">
        <v>88</v>
      </c>
      <c r="F38" t="s">
        <v>89</v>
      </c>
      <c r="G38" s="3">
        <v>1.77828571428571E-2</v>
      </c>
      <c r="H38">
        <v>60.002173900604198</v>
      </c>
    </row>
    <row r="39" spans="1:8" x14ac:dyDescent="0.2">
      <c r="A39" t="s">
        <v>7</v>
      </c>
      <c r="B39">
        <v>8</v>
      </c>
      <c r="C39">
        <v>100</v>
      </c>
      <c r="D39" s="8">
        <v>10</v>
      </c>
      <c r="E39" t="s">
        <v>90</v>
      </c>
      <c r="F39" t="s">
        <v>91</v>
      </c>
      <c r="G39" s="3">
        <v>3.4813342169206903E-2</v>
      </c>
      <c r="H39">
        <v>60.003214836120598</v>
      </c>
    </row>
    <row r="40" spans="1:8" x14ac:dyDescent="0.2">
      <c r="A40" t="s">
        <v>7</v>
      </c>
      <c r="B40">
        <v>9</v>
      </c>
      <c r="C40">
        <v>100</v>
      </c>
      <c r="D40" s="8">
        <v>10</v>
      </c>
      <c r="E40" t="s">
        <v>92</v>
      </c>
      <c r="F40" t="s">
        <v>93</v>
      </c>
      <c r="G40" s="3">
        <v>2.0612145173470701E-2</v>
      </c>
      <c r="H40">
        <v>60.000264883041297</v>
      </c>
    </row>
    <row r="41" spans="1:8" x14ac:dyDescent="0.2">
      <c r="A41" t="s">
        <v>7</v>
      </c>
      <c r="B41">
        <v>10</v>
      </c>
      <c r="C41">
        <v>100</v>
      </c>
      <c r="D41" s="8">
        <v>10</v>
      </c>
      <c r="E41" t="s">
        <v>94</v>
      </c>
      <c r="F41" t="s">
        <v>95</v>
      </c>
      <c r="G41" s="3">
        <v>2.2420932076468999E-2</v>
      </c>
      <c r="H41">
        <v>60.002110958099301</v>
      </c>
    </row>
    <row r="42" spans="1:8" x14ac:dyDescent="0.2">
      <c r="A42" t="s">
        <v>8</v>
      </c>
      <c r="B42">
        <v>1</v>
      </c>
      <c r="C42">
        <v>250</v>
      </c>
      <c r="D42" s="8">
        <v>10</v>
      </c>
      <c r="E42" t="s">
        <v>96</v>
      </c>
      <c r="F42" t="s">
        <v>97</v>
      </c>
      <c r="G42" s="3">
        <v>9.3432679473533006E-3</v>
      </c>
      <c r="H42">
        <v>60.058530092239302</v>
      </c>
    </row>
    <row r="43" spans="1:8" x14ac:dyDescent="0.2">
      <c r="A43" t="s">
        <v>8</v>
      </c>
      <c r="B43">
        <v>2</v>
      </c>
      <c r="C43">
        <v>250</v>
      </c>
      <c r="D43" s="8">
        <v>10</v>
      </c>
      <c r="E43" t="s">
        <v>98</v>
      </c>
      <c r="F43" t="s">
        <v>99</v>
      </c>
      <c r="G43" s="3">
        <v>5.8300092052776904E-3</v>
      </c>
      <c r="H43">
        <v>60.094408988952601</v>
      </c>
    </row>
    <row r="44" spans="1:8" x14ac:dyDescent="0.2">
      <c r="A44" t="s">
        <v>8</v>
      </c>
      <c r="B44">
        <v>3</v>
      </c>
      <c r="C44">
        <v>250</v>
      </c>
      <c r="D44" s="8">
        <v>10</v>
      </c>
      <c r="E44" t="s">
        <v>100</v>
      </c>
      <c r="F44" t="s">
        <v>101</v>
      </c>
      <c r="G44" s="3">
        <v>1.4287189726994101E-2</v>
      </c>
      <c r="H44">
        <v>60.0369100570678</v>
      </c>
    </row>
    <row r="45" spans="1:8" x14ac:dyDescent="0.2">
      <c r="A45" t="s">
        <v>8</v>
      </c>
      <c r="B45">
        <v>4</v>
      </c>
      <c r="C45">
        <v>250</v>
      </c>
      <c r="D45" s="8">
        <v>10</v>
      </c>
      <c r="E45" t="s">
        <v>102</v>
      </c>
      <c r="F45" t="s">
        <v>103</v>
      </c>
      <c r="G45" s="3">
        <v>7.0000000000000001E-3</v>
      </c>
      <c r="H45">
        <v>60.023130893707197</v>
      </c>
    </row>
    <row r="46" spans="1:8" x14ac:dyDescent="0.2">
      <c r="A46" t="s">
        <v>8</v>
      </c>
      <c r="B46">
        <v>5</v>
      </c>
      <c r="C46">
        <v>250</v>
      </c>
      <c r="D46" s="8">
        <v>10</v>
      </c>
      <c r="E46" t="s">
        <v>104</v>
      </c>
      <c r="F46" t="s">
        <v>105</v>
      </c>
      <c r="G46" s="3">
        <v>2.7387592095297099E-2</v>
      </c>
      <c r="H46">
        <v>60.143492937087998</v>
      </c>
    </row>
    <row r="47" spans="1:8" x14ac:dyDescent="0.2">
      <c r="A47" t="s">
        <v>8</v>
      </c>
      <c r="B47">
        <v>6</v>
      </c>
      <c r="C47">
        <v>250</v>
      </c>
      <c r="D47" s="8">
        <v>10</v>
      </c>
      <c r="E47" t="s">
        <v>106</v>
      </c>
      <c r="F47" t="s">
        <v>107</v>
      </c>
      <c r="G47" s="3">
        <v>1.7244018162338601E-2</v>
      </c>
      <c r="H47">
        <v>60.022629261016803</v>
      </c>
    </row>
    <row r="48" spans="1:8" x14ac:dyDescent="0.2">
      <c r="A48" t="s">
        <v>8</v>
      </c>
      <c r="B48">
        <v>7</v>
      </c>
      <c r="C48">
        <v>250</v>
      </c>
      <c r="D48" s="8">
        <v>10</v>
      </c>
      <c r="E48" t="s">
        <v>55</v>
      </c>
      <c r="F48" t="s">
        <v>108</v>
      </c>
      <c r="G48" s="3">
        <v>1.4145067995290601E-2</v>
      </c>
      <c r="H48">
        <v>60.047456026077199</v>
      </c>
    </row>
    <row r="49" spans="1:8" x14ac:dyDescent="0.2">
      <c r="A49" t="s">
        <v>8</v>
      </c>
      <c r="B49">
        <v>8</v>
      </c>
      <c r="C49">
        <v>250</v>
      </c>
      <c r="D49" s="8">
        <v>10</v>
      </c>
      <c r="E49" t="s">
        <v>109</v>
      </c>
      <c r="F49" t="s">
        <v>110</v>
      </c>
      <c r="G49" s="3">
        <v>1.6022540183648099E-2</v>
      </c>
      <c r="H49">
        <v>60.1450901031494</v>
      </c>
    </row>
    <row r="50" spans="1:8" x14ac:dyDescent="0.2">
      <c r="A50" t="s">
        <v>8</v>
      </c>
      <c r="B50">
        <v>9</v>
      </c>
      <c r="C50">
        <v>250</v>
      </c>
      <c r="D50" s="8">
        <v>10</v>
      </c>
      <c r="E50" t="s">
        <v>111</v>
      </c>
      <c r="F50" t="s">
        <v>112</v>
      </c>
      <c r="G50" s="3">
        <v>1.8574026673851499E-2</v>
      </c>
      <c r="H50">
        <v>60.147704124450598</v>
      </c>
    </row>
    <row r="51" spans="1:8" x14ac:dyDescent="0.2">
      <c r="A51" t="s">
        <v>8</v>
      </c>
      <c r="B51">
        <v>10</v>
      </c>
      <c r="C51">
        <v>250</v>
      </c>
      <c r="D51" s="8">
        <v>10</v>
      </c>
      <c r="E51" t="s">
        <v>113</v>
      </c>
      <c r="F51" t="s">
        <v>114</v>
      </c>
      <c r="G51" s="3">
        <v>1.3379960468298599E-2</v>
      </c>
      <c r="H51">
        <v>60.0313880443573</v>
      </c>
    </row>
    <row r="52" spans="1:8" x14ac:dyDescent="0.2">
      <c r="A52" t="s">
        <v>34</v>
      </c>
      <c r="B52">
        <v>1</v>
      </c>
      <c r="C52">
        <v>500</v>
      </c>
      <c r="D52" s="8">
        <v>10</v>
      </c>
      <c r="E52" t="s">
        <v>115</v>
      </c>
      <c r="F52" t="s">
        <v>116</v>
      </c>
      <c r="G52" s="3">
        <v>1.0974636019231E-2</v>
      </c>
      <c r="H52">
        <v>61.183112144470201</v>
      </c>
    </row>
    <row r="53" spans="1:8" x14ac:dyDescent="0.2">
      <c r="A53" t="s">
        <v>34</v>
      </c>
      <c r="B53">
        <v>2</v>
      </c>
      <c r="C53">
        <v>500</v>
      </c>
      <c r="D53" s="8">
        <v>10</v>
      </c>
      <c r="E53" t="s">
        <v>117</v>
      </c>
      <c r="F53" t="s">
        <v>118</v>
      </c>
      <c r="G53" s="3">
        <v>6.16926447259083E-3</v>
      </c>
      <c r="H53">
        <v>168.54808115959099</v>
      </c>
    </row>
    <row r="54" spans="1:8" x14ac:dyDescent="0.2">
      <c r="A54" t="s">
        <v>34</v>
      </c>
      <c r="B54">
        <v>3</v>
      </c>
      <c r="C54">
        <v>500</v>
      </c>
      <c r="D54" s="8">
        <v>10</v>
      </c>
      <c r="E54" t="s">
        <v>119</v>
      </c>
      <c r="F54" t="s">
        <v>120</v>
      </c>
      <c r="G54" s="3">
        <v>1.7245864768922099E-2</v>
      </c>
      <c r="H54">
        <v>63.190580844879101</v>
      </c>
    </row>
    <row r="55" spans="1:8" x14ac:dyDescent="0.2">
      <c r="A55" t="s">
        <v>34</v>
      </c>
      <c r="B55">
        <v>4</v>
      </c>
      <c r="C55">
        <v>500</v>
      </c>
      <c r="D55" s="8">
        <v>10</v>
      </c>
      <c r="E55" t="s">
        <v>121</v>
      </c>
      <c r="F55" t="s">
        <v>122</v>
      </c>
      <c r="G55" s="3">
        <v>1.1355027693136399E-2</v>
      </c>
      <c r="H55">
        <v>60.2041561603546</v>
      </c>
    </row>
    <row r="56" spans="1:8" x14ac:dyDescent="0.2">
      <c r="A56" t="s">
        <v>34</v>
      </c>
      <c r="B56">
        <v>5</v>
      </c>
      <c r="C56">
        <v>500</v>
      </c>
      <c r="D56" s="8">
        <v>10</v>
      </c>
      <c r="E56" t="s">
        <v>116</v>
      </c>
      <c r="F56" t="s">
        <v>123</v>
      </c>
      <c r="G56" s="3">
        <v>1.0082965456825301E-2</v>
      </c>
      <c r="H56">
        <v>61.733295917510901</v>
      </c>
    </row>
    <row r="57" spans="1:8" x14ac:dyDescent="0.2">
      <c r="A57" t="s">
        <v>34</v>
      </c>
      <c r="B57">
        <v>6</v>
      </c>
      <c r="C57">
        <v>500</v>
      </c>
      <c r="D57" s="8">
        <v>10</v>
      </c>
      <c r="E57" t="s">
        <v>124</v>
      </c>
      <c r="F57" t="s">
        <v>125</v>
      </c>
      <c r="G57" s="3">
        <v>9.7778224253687596E-3</v>
      </c>
      <c r="H57">
        <v>62.0670969486236</v>
      </c>
    </row>
    <row r="58" spans="1:8" x14ac:dyDescent="0.2">
      <c r="A58" t="s">
        <v>34</v>
      </c>
      <c r="B58">
        <v>7</v>
      </c>
      <c r="C58">
        <v>500</v>
      </c>
      <c r="D58" s="8">
        <v>10</v>
      </c>
      <c r="E58" t="s">
        <v>126</v>
      </c>
      <c r="F58" t="s">
        <v>127</v>
      </c>
      <c r="G58" s="3">
        <v>9.7704364963381706E-3</v>
      </c>
      <c r="H58">
        <v>60.339851856231597</v>
      </c>
    </row>
    <row r="59" spans="1:8" x14ac:dyDescent="0.2">
      <c r="A59" t="s">
        <v>34</v>
      </c>
      <c r="B59">
        <v>8</v>
      </c>
      <c r="C59">
        <v>500</v>
      </c>
      <c r="D59" s="8">
        <v>10</v>
      </c>
      <c r="E59" t="s">
        <v>128</v>
      </c>
      <c r="F59" t="s">
        <v>129</v>
      </c>
      <c r="G59" s="3">
        <v>1.48197619369674E-2</v>
      </c>
      <c r="H59">
        <v>62.694888114929199</v>
      </c>
    </row>
    <row r="60" spans="1:8" x14ac:dyDescent="0.2">
      <c r="A60" t="s">
        <v>34</v>
      </c>
      <c r="B60">
        <v>9</v>
      </c>
      <c r="C60">
        <v>500</v>
      </c>
      <c r="D60" s="8">
        <v>10</v>
      </c>
      <c r="E60" t="s">
        <v>130</v>
      </c>
      <c r="F60" t="s">
        <v>131</v>
      </c>
      <c r="G60" s="3">
        <v>1.1258373733857401E-2</v>
      </c>
      <c r="H60">
        <v>61.192318916320801</v>
      </c>
    </row>
    <row r="61" spans="1:8" x14ac:dyDescent="0.2">
      <c r="A61" t="s">
        <v>34</v>
      </c>
      <c r="B61">
        <v>10</v>
      </c>
      <c r="C61">
        <v>500</v>
      </c>
      <c r="D61" s="8">
        <v>10</v>
      </c>
      <c r="E61" t="s">
        <v>132</v>
      </c>
      <c r="F61" t="s">
        <v>133</v>
      </c>
      <c r="G61" s="3">
        <v>1.2037775445960099E-2</v>
      </c>
      <c r="H61">
        <v>62.814417123794499</v>
      </c>
    </row>
    <row r="62" spans="1:8" x14ac:dyDescent="0.2">
      <c r="A62" t="s">
        <v>9</v>
      </c>
      <c r="B62">
        <v>1</v>
      </c>
      <c r="C62">
        <v>100</v>
      </c>
      <c r="D62" s="8">
        <v>30</v>
      </c>
      <c r="E62" t="s">
        <v>134</v>
      </c>
      <c r="F62" t="s">
        <v>135</v>
      </c>
      <c r="G62" s="3">
        <v>3.1714207600473797E-2</v>
      </c>
      <c r="H62">
        <v>60.000176906585601</v>
      </c>
    </row>
    <row r="63" spans="1:8" x14ac:dyDescent="0.2">
      <c r="A63" t="s">
        <v>9</v>
      </c>
      <c r="B63">
        <v>2</v>
      </c>
      <c r="C63">
        <v>100</v>
      </c>
      <c r="D63" s="8">
        <v>30</v>
      </c>
      <c r="E63" t="s">
        <v>136</v>
      </c>
      <c r="F63" t="s">
        <v>137</v>
      </c>
      <c r="G63" s="3">
        <v>7.5888745625345297E-2</v>
      </c>
      <c r="H63">
        <v>60.000221252441399</v>
      </c>
    </row>
    <row r="64" spans="1:8" x14ac:dyDescent="0.2">
      <c r="A64" t="s">
        <v>9</v>
      </c>
      <c r="B64">
        <v>3</v>
      </c>
      <c r="C64">
        <v>100</v>
      </c>
      <c r="D64" s="8">
        <v>30</v>
      </c>
      <c r="E64" t="s">
        <v>138</v>
      </c>
      <c r="F64" t="s">
        <v>139</v>
      </c>
      <c r="G64" s="3">
        <v>5.7049243519321502E-2</v>
      </c>
      <c r="H64">
        <v>60.004282236099201</v>
      </c>
    </row>
    <row r="65" spans="1:8" x14ac:dyDescent="0.2">
      <c r="A65" t="s">
        <v>9</v>
      </c>
      <c r="B65">
        <v>4</v>
      </c>
      <c r="C65">
        <v>100</v>
      </c>
      <c r="D65" s="8">
        <v>30</v>
      </c>
      <c r="E65" t="s">
        <v>140</v>
      </c>
      <c r="F65" t="s">
        <v>141</v>
      </c>
      <c r="G65" s="3">
        <v>1.7657472978009601E-2</v>
      </c>
      <c r="H65">
        <v>60.0130999088287</v>
      </c>
    </row>
    <row r="66" spans="1:8" x14ac:dyDescent="0.2">
      <c r="A66" t="s">
        <v>9</v>
      </c>
      <c r="B66">
        <v>5</v>
      </c>
      <c r="C66">
        <v>100</v>
      </c>
      <c r="D66" s="8">
        <v>30</v>
      </c>
      <c r="E66" t="s">
        <v>142</v>
      </c>
      <c r="F66" t="s">
        <v>143</v>
      </c>
      <c r="G66" s="3">
        <v>4.4650224626386702E-2</v>
      </c>
      <c r="H66">
        <v>60.009107828140202</v>
      </c>
    </row>
    <row r="67" spans="1:8" x14ac:dyDescent="0.2">
      <c r="A67" t="s">
        <v>9</v>
      </c>
      <c r="B67">
        <v>6</v>
      </c>
      <c r="C67">
        <v>100</v>
      </c>
      <c r="D67" s="8">
        <v>30</v>
      </c>
      <c r="E67" t="s">
        <v>144</v>
      </c>
      <c r="F67" t="s">
        <v>93</v>
      </c>
      <c r="G67" s="3">
        <v>5.8170995670995601E-3</v>
      </c>
      <c r="H67">
        <v>60.009141206741297</v>
      </c>
    </row>
    <row r="68" spans="1:8" x14ac:dyDescent="0.2">
      <c r="A68" t="s">
        <v>9</v>
      </c>
      <c r="B68">
        <v>7</v>
      </c>
      <c r="C68">
        <v>100</v>
      </c>
      <c r="D68" s="8">
        <v>30</v>
      </c>
      <c r="E68" t="s">
        <v>145</v>
      </c>
      <c r="F68" t="s">
        <v>146</v>
      </c>
      <c r="G68" s="3">
        <v>2.4955273177668699E-2</v>
      </c>
      <c r="H68">
        <v>60.0023961067199</v>
      </c>
    </row>
    <row r="69" spans="1:8" x14ac:dyDescent="0.2">
      <c r="A69" t="s">
        <v>9</v>
      </c>
      <c r="B69">
        <v>8</v>
      </c>
      <c r="C69">
        <v>100</v>
      </c>
      <c r="D69" s="8">
        <v>30</v>
      </c>
      <c r="E69" t="s">
        <v>147</v>
      </c>
      <c r="F69" t="s">
        <v>148</v>
      </c>
      <c r="G69" s="3">
        <v>3.6033088750759397E-2</v>
      </c>
      <c r="H69">
        <v>60.000976085662799</v>
      </c>
    </row>
    <row r="70" spans="1:8" x14ac:dyDescent="0.2">
      <c r="A70" t="s">
        <v>9</v>
      </c>
      <c r="B70">
        <v>9</v>
      </c>
      <c r="C70">
        <v>100</v>
      </c>
      <c r="D70" s="8">
        <v>30</v>
      </c>
      <c r="E70" t="s">
        <v>149</v>
      </c>
      <c r="F70" t="s">
        <v>150</v>
      </c>
      <c r="G70" s="3">
        <v>1.2137109322900399E-2</v>
      </c>
      <c r="H70">
        <v>60.002367973327601</v>
      </c>
    </row>
    <row r="71" spans="1:8" x14ac:dyDescent="0.2">
      <c r="A71" t="s">
        <v>9</v>
      </c>
      <c r="B71">
        <v>10</v>
      </c>
      <c r="C71">
        <v>100</v>
      </c>
      <c r="D71" s="8">
        <v>30</v>
      </c>
      <c r="E71" t="s">
        <v>151</v>
      </c>
      <c r="F71" t="s">
        <v>152</v>
      </c>
      <c r="G71" s="3">
        <v>4.6418529285612103E-2</v>
      </c>
      <c r="H71">
        <v>60.009469032287598</v>
      </c>
    </row>
    <row r="72" spans="1:8" x14ac:dyDescent="0.2">
      <c r="A72" t="s">
        <v>35</v>
      </c>
      <c r="B72">
        <v>1</v>
      </c>
      <c r="C72">
        <v>250</v>
      </c>
      <c r="D72" s="8">
        <v>30</v>
      </c>
      <c r="E72" t="s">
        <v>153</v>
      </c>
      <c r="F72" t="s">
        <v>154</v>
      </c>
      <c r="G72" s="3">
        <v>4.0410632705977799E-2</v>
      </c>
      <c r="H72">
        <v>60.186354875564497</v>
      </c>
    </row>
    <row r="73" spans="1:8" x14ac:dyDescent="0.2">
      <c r="A73" t="s">
        <v>35</v>
      </c>
      <c r="B73">
        <v>2</v>
      </c>
      <c r="C73">
        <v>250</v>
      </c>
      <c r="D73" s="8">
        <v>30</v>
      </c>
      <c r="E73" t="s">
        <v>155</v>
      </c>
      <c r="F73" t="s">
        <v>156</v>
      </c>
      <c r="G73" s="3">
        <v>3.6746802016530002E-2</v>
      </c>
      <c r="H73">
        <v>60.068607091903601</v>
      </c>
    </row>
    <row r="74" spans="1:8" x14ac:dyDescent="0.2">
      <c r="A74" t="s">
        <v>35</v>
      </c>
      <c r="B74">
        <v>3</v>
      </c>
      <c r="C74">
        <v>250</v>
      </c>
      <c r="D74" s="8">
        <v>30</v>
      </c>
      <c r="E74" t="s">
        <v>157</v>
      </c>
      <c r="F74" t="s">
        <v>158</v>
      </c>
      <c r="G74" s="3">
        <v>2.4561031245026701E-2</v>
      </c>
      <c r="H74">
        <v>60.042998075485201</v>
      </c>
    </row>
    <row r="75" spans="1:8" x14ac:dyDescent="0.2">
      <c r="A75" t="s">
        <v>35</v>
      </c>
      <c r="B75">
        <v>4</v>
      </c>
      <c r="C75">
        <v>250</v>
      </c>
      <c r="D75" s="8">
        <v>30</v>
      </c>
      <c r="E75" t="s">
        <v>159</v>
      </c>
      <c r="F75" t="s">
        <v>160</v>
      </c>
      <c r="G75" s="3">
        <v>1.7849919983117302E-2</v>
      </c>
      <c r="H75">
        <v>60.083050966262803</v>
      </c>
    </row>
    <row r="76" spans="1:8" x14ac:dyDescent="0.2">
      <c r="A76" t="s">
        <v>35</v>
      </c>
      <c r="B76">
        <v>5</v>
      </c>
      <c r="C76">
        <v>250</v>
      </c>
      <c r="D76" s="8">
        <v>30</v>
      </c>
      <c r="E76" t="s">
        <v>161</v>
      </c>
      <c r="F76" t="s">
        <v>162</v>
      </c>
      <c r="G76" s="3">
        <v>2.9525508131875801E-2</v>
      </c>
      <c r="H76">
        <v>60.144424200057898</v>
      </c>
    </row>
    <row r="77" spans="1:8" x14ac:dyDescent="0.2">
      <c r="A77" t="s">
        <v>35</v>
      </c>
      <c r="B77">
        <v>6</v>
      </c>
      <c r="C77">
        <v>250</v>
      </c>
      <c r="D77" s="8">
        <v>30</v>
      </c>
      <c r="E77" t="s">
        <v>163</v>
      </c>
      <c r="F77" t="s">
        <v>164</v>
      </c>
      <c r="G77" s="3">
        <v>1.9660708345734301E-2</v>
      </c>
      <c r="H77">
        <v>60.139152050018303</v>
      </c>
    </row>
    <row r="78" spans="1:8" x14ac:dyDescent="0.2">
      <c r="A78" t="s">
        <v>35</v>
      </c>
      <c r="B78">
        <v>7</v>
      </c>
      <c r="C78">
        <v>250</v>
      </c>
      <c r="D78" s="8">
        <v>30</v>
      </c>
      <c r="E78" t="s">
        <v>165</v>
      </c>
      <c r="F78" t="s">
        <v>166</v>
      </c>
      <c r="G78" s="3">
        <v>1.9167910182619201E-2</v>
      </c>
      <c r="H78">
        <v>60.155396223068202</v>
      </c>
    </row>
    <row r="79" spans="1:8" x14ac:dyDescent="0.2">
      <c r="A79" t="s">
        <v>35</v>
      </c>
      <c r="B79">
        <v>8</v>
      </c>
      <c r="C79">
        <v>250</v>
      </c>
      <c r="D79" s="8">
        <v>30</v>
      </c>
      <c r="E79" t="s">
        <v>167</v>
      </c>
      <c r="F79" t="s">
        <v>168</v>
      </c>
      <c r="G79" s="3">
        <v>2.4076733507082899E-2</v>
      </c>
      <c r="H79">
        <v>60.060477972030597</v>
      </c>
    </row>
    <row r="80" spans="1:8" x14ac:dyDescent="0.2">
      <c r="A80" t="s">
        <v>35</v>
      </c>
      <c r="B80">
        <v>9</v>
      </c>
      <c r="C80">
        <v>250</v>
      </c>
      <c r="D80" s="8">
        <v>30</v>
      </c>
      <c r="E80" t="s">
        <v>169</v>
      </c>
      <c r="F80" t="s">
        <v>170</v>
      </c>
      <c r="G80" s="3">
        <v>3.1631906967027598E-2</v>
      </c>
      <c r="H80">
        <v>60.032891035079899</v>
      </c>
    </row>
    <row r="81" spans="1:8" x14ac:dyDescent="0.2">
      <c r="A81" t="s">
        <v>35</v>
      </c>
      <c r="B81">
        <v>10</v>
      </c>
      <c r="C81">
        <v>250</v>
      </c>
      <c r="D81" s="8">
        <v>30</v>
      </c>
      <c r="E81" t="s">
        <v>171</v>
      </c>
      <c r="F81" t="s">
        <v>172</v>
      </c>
      <c r="G81" s="3">
        <v>3.47937002852233E-2</v>
      </c>
      <c r="H81">
        <v>60.052587985992403</v>
      </c>
    </row>
    <row r="82" spans="1:8" x14ac:dyDescent="0.2">
      <c r="A82" t="s">
        <v>36</v>
      </c>
      <c r="B82">
        <v>1</v>
      </c>
      <c r="C82">
        <v>500</v>
      </c>
      <c r="D82" s="8">
        <v>30</v>
      </c>
      <c r="E82" t="s">
        <v>173</v>
      </c>
      <c r="F82" t="s">
        <v>174</v>
      </c>
      <c r="G82" s="3">
        <v>1.86591638761349E-2</v>
      </c>
      <c r="H82">
        <v>61.602531909942599</v>
      </c>
    </row>
    <row r="83" spans="1:8" x14ac:dyDescent="0.2">
      <c r="A83" t="s">
        <v>36</v>
      </c>
      <c r="B83">
        <v>2</v>
      </c>
      <c r="C83">
        <v>500</v>
      </c>
      <c r="D83" s="8">
        <v>30</v>
      </c>
      <c r="E83" t="s">
        <v>175</v>
      </c>
      <c r="F83" t="s">
        <v>176</v>
      </c>
      <c r="G83" s="3">
        <v>2.15493559611745E-2</v>
      </c>
      <c r="H83">
        <v>60.671169996261597</v>
      </c>
    </row>
    <row r="84" spans="1:8" x14ac:dyDescent="0.2">
      <c r="A84" t="s">
        <v>36</v>
      </c>
      <c r="B84">
        <v>3</v>
      </c>
      <c r="C84">
        <v>500</v>
      </c>
      <c r="D84" s="8">
        <v>30</v>
      </c>
      <c r="E84" t="s">
        <v>177</v>
      </c>
      <c r="F84" t="s">
        <v>178</v>
      </c>
      <c r="G84" s="3">
        <v>1.8060877242608901E-2</v>
      </c>
      <c r="H84">
        <v>60.380758047103797</v>
      </c>
    </row>
    <row r="85" spans="1:8" x14ac:dyDescent="0.2">
      <c r="A85" t="s">
        <v>36</v>
      </c>
      <c r="B85">
        <v>4</v>
      </c>
      <c r="C85">
        <v>500</v>
      </c>
      <c r="D85" s="8">
        <v>30</v>
      </c>
      <c r="E85" t="s">
        <v>179</v>
      </c>
      <c r="F85" t="s">
        <v>180</v>
      </c>
      <c r="G85" s="3">
        <v>1.7121237102666598E-2</v>
      </c>
      <c r="H85">
        <v>60.565169811248701</v>
      </c>
    </row>
    <row r="86" spans="1:8" x14ac:dyDescent="0.2">
      <c r="A86" t="s">
        <v>36</v>
      </c>
      <c r="B86">
        <v>5</v>
      </c>
      <c r="C86">
        <v>500</v>
      </c>
      <c r="D86" s="8">
        <v>30</v>
      </c>
      <c r="E86" t="s">
        <v>181</v>
      </c>
      <c r="F86" t="s">
        <v>182</v>
      </c>
      <c r="G86" s="3">
        <v>1.43013072288638E-2</v>
      </c>
      <c r="H86">
        <v>61.009013652801499</v>
      </c>
    </row>
    <row r="87" spans="1:8" x14ac:dyDescent="0.2">
      <c r="A87" t="s">
        <v>36</v>
      </c>
      <c r="B87">
        <v>6</v>
      </c>
      <c r="C87">
        <v>500</v>
      </c>
      <c r="D87" s="8">
        <v>30</v>
      </c>
      <c r="E87" t="s">
        <v>183</v>
      </c>
      <c r="F87" t="s">
        <v>184</v>
      </c>
      <c r="G87" s="3">
        <v>2.0950832151136599E-2</v>
      </c>
      <c r="H87">
        <v>62.144725084304802</v>
      </c>
    </row>
    <row r="88" spans="1:8" x14ac:dyDescent="0.2">
      <c r="A88" t="s">
        <v>36</v>
      </c>
      <c r="B88">
        <v>7</v>
      </c>
      <c r="C88">
        <v>500</v>
      </c>
      <c r="D88" s="8">
        <v>30</v>
      </c>
      <c r="E88" t="s">
        <v>185</v>
      </c>
      <c r="F88" t="s">
        <v>186</v>
      </c>
      <c r="G88" s="3">
        <v>1.6287559674248799E-2</v>
      </c>
      <c r="H88">
        <v>61.179121017455998</v>
      </c>
    </row>
    <row r="89" spans="1:8" x14ac:dyDescent="0.2">
      <c r="A89" t="s">
        <v>36</v>
      </c>
      <c r="B89">
        <v>8</v>
      </c>
      <c r="C89">
        <v>500</v>
      </c>
      <c r="D89" s="8">
        <v>30</v>
      </c>
      <c r="E89" t="s">
        <v>187</v>
      </c>
      <c r="F89" t="s">
        <v>188</v>
      </c>
      <c r="G89" s="3">
        <v>1.85203022793544E-2</v>
      </c>
      <c r="H89">
        <v>60.793564796447697</v>
      </c>
    </row>
    <row r="90" spans="1:8" x14ac:dyDescent="0.2">
      <c r="A90" t="s">
        <v>36</v>
      </c>
      <c r="B90">
        <v>9</v>
      </c>
      <c r="C90">
        <v>500</v>
      </c>
      <c r="D90" s="8">
        <v>30</v>
      </c>
      <c r="E90" t="s">
        <v>189</v>
      </c>
      <c r="F90" t="s">
        <v>190</v>
      </c>
      <c r="G90" s="3">
        <v>2.0538495579060598E-2</v>
      </c>
      <c r="H90">
        <v>61.037017107009802</v>
      </c>
    </row>
    <row r="91" spans="1:8" x14ac:dyDescent="0.2">
      <c r="A91" t="s">
        <v>36</v>
      </c>
      <c r="B91">
        <v>10</v>
      </c>
      <c r="C91">
        <v>500</v>
      </c>
      <c r="D91" s="8">
        <v>30</v>
      </c>
      <c r="E91" t="s">
        <v>191</v>
      </c>
      <c r="F91" t="s">
        <v>192</v>
      </c>
      <c r="G91" s="3">
        <v>2.0239937749578801E-2</v>
      </c>
      <c r="H91">
        <v>61.6748399734497</v>
      </c>
    </row>
    <row r="99" spans="3:5" x14ac:dyDescent="0.2">
      <c r="C99" s="4" t="s">
        <v>193</v>
      </c>
      <c r="D99" s="9" t="s">
        <v>199</v>
      </c>
      <c r="E99" s="4" t="s">
        <v>198</v>
      </c>
    </row>
    <row r="100" spans="3:5" x14ac:dyDescent="0.2">
      <c r="C100" s="7" t="s">
        <v>194</v>
      </c>
      <c r="D100" s="10">
        <f>MIN(G2:G91)</f>
        <v>1.1889091758311701E-3</v>
      </c>
      <c r="E100" s="5">
        <f>MIN(H2:H91)</f>
        <v>60.000055074691701</v>
      </c>
    </row>
    <row r="101" spans="3:5" x14ac:dyDescent="0.2">
      <c r="C101" s="7" t="s">
        <v>195</v>
      </c>
      <c r="D101" s="10">
        <f>MAX(G2:G91)</f>
        <v>7.5888745625345297E-2</v>
      </c>
      <c r="E101" s="6">
        <f>MAX(H2:H91)</f>
        <v>168.54808115959099</v>
      </c>
    </row>
    <row r="102" spans="3:5" x14ac:dyDescent="0.2">
      <c r="C102" s="7" t="s">
        <v>196</v>
      </c>
      <c r="D102" s="10">
        <f>AVERAGE(G2:G91)</f>
        <v>1.7225185382667069E-2</v>
      </c>
      <c r="E102" s="6">
        <f>AVERAGE(H2:H91)</f>
        <v>61.673892288737804</v>
      </c>
    </row>
    <row r="103" spans="3:5" x14ac:dyDescent="0.2">
      <c r="C103" s="7" t="s">
        <v>197</v>
      </c>
      <c r="D103" s="10">
        <f>STDEV(G2:G91)</f>
        <v>1.2564988786500643E-2</v>
      </c>
      <c r="E103" s="5">
        <f>STDEV(H2:H91)</f>
        <v>11.416891214611033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TSA-KWET-SHIN</dc:creator>
  <cp:lastModifiedBy>Christopher TSA-KWET-SHIN</cp:lastModifiedBy>
  <dcterms:created xsi:type="dcterms:W3CDTF">2025-01-24T10:04:18Z</dcterms:created>
  <dcterms:modified xsi:type="dcterms:W3CDTF">2025-01-24T11:47:47Z</dcterms:modified>
</cp:coreProperties>
</file>